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ab077df4feaf81/Desktop/SUNNY PANDEY/excel projects/"/>
    </mc:Choice>
  </mc:AlternateContent>
  <xr:revisionPtr revIDLastSave="21" documentId="11_F12AA240956AE9082CF14592E92764B73E0045F6" xr6:coauthVersionLast="47" xr6:coauthVersionMax="47" xr10:uidLastSave="{D624F93D-7B8B-4A46-B2A3-C42F2E7E48C9}"/>
  <bookViews>
    <workbookView xWindow="-108" yWindow="-108" windowWidth="23256" windowHeight="12456" tabRatio="500" activeTab="4" xr2:uid="{00000000-000D-0000-FFFF-FFFF00000000}"/>
  </bookViews>
  <sheets>
    <sheet name="Raw_Data" sheetId="2" r:id="rId1"/>
    <sheet name="Cleaned_Data" sheetId="3" r:id="rId2"/>
    <sheet name="Analysis" sheetId="4" r:id="rId3"/>
    <sheet name="Dashboard" sheetId="1" r:id="rId4"/>
    <sheet name="Summary_Recommendation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7" i="3" l="1"/>
  <c r="B99" i="3"/>
  <c r="B100" i="3"/>
  <c r="B9" i="3"/>
  <c r="L451" i="3"/>
  <c r="K451" i="3"/>
  <c r="J451" i="3"/>
  <c r="I451" i="3"/>
  <c r="H451" i="3"/>
  <c r="G451" i="3"/>
  <c r="F451" i="3"/>
  <c r="E451" i="3"/>
  <c r="D451" i="3"/>
  <c r="B451" i="3"/>
  <c r="A451" i="3"/>
  <c r="L450" i="3"/>
  <c r="K450" i="3"/>
  <c r="J450" i="3"/>
  <c r="I450" i="3"/>
  <c r="H450" i="3"/>
  <c r="G450" i="3"/>
  <c r="F450" i="3"/>
  <c r="E450" i="3"/>
  <c r="D450" i="3"/>
  <c r="B450" i="3"/>
  <c r="A450" i="3"/>
  <c r="L449" i="3"/>
  <c r="K449" i="3"/>
  <c r="J449" i="3"/>
  <c r="I449" i="3"/>
  <c r="H449" i="3"/>
  <c r="G449" i="3"/>
  <c r="F449" i="3"/>
  <c r="E449" i="3"/>
  <c r="D449" i="3"/>
  <c r="B449" i="3"/>
  <c r="A449" i="3"/>
  <c r="L448" i="3"/>
  <c r="K448" i="3"/>
  <c r="J448" i="3"/>
  <c r="I448" i="3"/>
  <c r="H448" i="3"/>
  <c r="G448" i="3"/>
  <c r="F448" i="3"/>
  <c r="E448" i="3"/>
  <c r="D448" i="3"/>
  <c r="B448" i="3"/>
  <c r="A448" i="3"/>
  <c r="L447" i="3"/>
  <c r="K447" i="3"/>
  <c r="J447" i="3"/>
  <c r="I447" i="3"/>
  <c r="H447" i="3"/>
  <c r="G447" i="3"/>
  <c r="F447" i="3"/>
  <c r="E447" i="3"/>
  <c r="D447" i="3"/>
  <c r="B447" i="3"/>
  <c r="A447" i="3"/>
  <c r="L446" i="3"/>
  <c r="K446" i="3"/>
  <c r="J446" i="3"/>
  <c r="I446" i="3"/>
  <c r="H446" i="3"/>
  <c r="G446" i="3"/>
  <c r="F446" i="3"/>
  <c r="E446" i="3"/>
  <c r="D446" i="3"/>
  <c r="B446" i="3"/>
  <c r="A446" i="3"/>
  <c r="L445" i="3"/>
  <c r="K445" i="3"/>
  <c r="J445" i="3"/>
  <c r="I445" i="3"/>
  <c r="H445" i="3"/>
  <c r="G445" i="3"/>
  <c r="F445" i="3"/>
  <c r="E445" i="3"/>
  <c r="D445" i="3"/>
  <c r="B445" i="3"/>
  <c r="A445" i="3"/>
  <c r="L444" i="3"/>
  <c r="K444" i="3"/>
  <c r="J444" i="3"/>
  <c r="I444" i="3"/>
  <c r="H444" i="3"/>
  <c r="G444" i="3"/>
  <c r="F444" i="3"/>
  <c r="E444" i="3"/>
  <c r="D444" i="3"/>
  <c r="B444" i="3"/>
  <c r="A444" i="3"/>
  <c r="L443" i="3"/>
  <c r="K443" i="3"/>
  <c r="J443" i="3"/>
  <c r="I443" i="3"/>
  <c r="H443" i="3"/>
  <c r="G443" i="3"/>
  <c r="F443" i="3"/>
  <c r="E443" i="3"/>
  <c r="D443" i="3"/>
  <c r="B443" i="3"/>
  <c r="A443" i="3"/>
  <c r="L442" i="3"/>
  <c r="K442" i="3"/>
  <c r="J442" i="3"/>
  <c r="I442" i="3"/>
  <c r="H442" i="3"/>
  <c r="G442" i="3"/>
  <c r="F442" i="3"/>
  <c r="E442" i="3"/>
  <c r="D442" i="3"/>
  <c r="B442" i="3"/>
  <c r="A442" i="3"/>
  <c r="L441" i="3"/>
  <c r="K441" i="3"/>
  <c r="J441" i="3"/>
  <c r="I441" i="3"/>
  <c r="H441" i="3"/>
  <c r="G441" i="3"/>
  <c r="F441" i="3"/>
  <c r="E441" i="3"/>
  <c r="D441" i="3"/>
  <c r="B441" i="3"/>
  <c r="A441" i="3"/>
  <c r="L440" i="3"/>
  <c r="K440" i="3"/>
  <c r="J440" i="3"/>
  <c r="I440" i="3"/>
  <c r="H440" i="3"/>
  <c r="G440" i="3"/>
  <c r="F440" i="3"/>
  <c r="E440" i="3"/>
  <c r="D440" i="3"/>
  <c r="B440" i="3"/>
  <c r="A440" i="3"/>
  <c r="L439" i="3"/>
  <c r="K439" i="3"/>
  <c r="J439" i="3"/>
  <c r="I439" i="3"/>
  <c r="H439" i="3"/>
  <c r="G439" i="3"/>
  <c r="F439" i="3"/>
  <c r="E439" i="3"/>
  <c r="D439" i="3"/>
  <c r="B439" i="3"/>
  <c r="A439" i="3"/>
  <c r="L438" i="3"/>
  <c r="K438" i="3"/>
  <c r="J438" i="3"/>
  <c r="I438" i="3"/>
  <c r="H438" i="3"/>
  <c r="G438" i="3"/>
  <c r="F438" i="3"/>
  <c r="E438" i="3"/>
  <c r="D438" i="3"/>
  <c r="B438" i="3"/>
  <c r="A438" i="3"/>
  <c r="L437" i="3"/>
  <c r="K437" i="3"/>
  <c r="J437" i="3"/>
  <c r="I437" i="3"/>
  <c r="H437" i="3"/>
  <c r="G437" i="3"/>
  <c r="F437" i="3"/>
  <c r="E437" i="3"/>
  <c r="D437" i="3"/>
  <c r="B437" i="3"/>
  <c r="A437" i="3"/>
  <c r="L436" i="3"/>
  <c r="K436" i="3"/>
  <c r="J436" i="3"/>
  <c r="I436" i="3"/>
  <c r="H436" i="3"/>
  <c r="G436" i="3"/>
  <c r="F436" i="3"/>
  <c r="E436" i="3"/>
  <c r="D436" i="3"/>
  <c r="B436" i="3"/>
  <c r="A436" i="3"/>
  <c r="L435" i="3"/>
  <c r="K435" i="3"/>
  <c r="J435" i="3"/>
  <c r="I435" i="3"/>
  <c r="H435" i="3"/>
  <c r="G435" i="3"/>
  <c r="F435" i="3"/>
  <c r="E435" i="3"/>
  <c r="D435" i="3"/>
  <c r="B435" i="3"/>
  <c r="A435" i="3"/>
  <c r="L434" i="3"/>
  <c r="K434" i="3"/>
  <c r="J434" i="3"/>
  <c r="I434" i="3"/>
  <c r="H434" i="3"/>
  <c r="G434" i="3"/>
  <c r="F434" i="3"/>
  <c r="E434" i="3"/>
  <c r="D434" i="3"/>
  <c r="B434" i="3"/>
  <c r="A434" i="3"/>
  <c r="L433" i="3"/>
  <c r="K433" i="3"/>
  <c r="J433" i="3"/>
  <c r="I433" i="3"/>
  <c r="H433" i="3"/>
  <c r="G433" i="3"/>
  <c r="F433" i="3"/>
  <c r="E433" i="3"/>
  <c r="D433" i="3"/>
  <c r="B433" i="3"/>
  <c r="A433" i="3"/>
  <c r="L432" i="3"/>
  <c r="K432" i="3"/>
  <c r="J432" i="3"/>
  <c r="I432" i="3"/>
  <c r="H432" i="3"/>
  <c r="G432" i="3"/>
  <c r="F432" i="3"/>
  <c r="E432" i="3"/>
  <c r="D432" i="3"/>
  <c r="B432" i="3"/>
  <c r="A432" i="3"/>
  <c r="L431" i="3"/>
  <c r="K431" i="3"/>
  <c r="J431" i="3"/>
  <c r="I431" i="3"/>
  <c r="H431" i="3"/>
  <c r="G431" i="3"/>
  <c r="F431" i="3"/>
  <c r="E431" i="3"/>
  <c r="D431" i="3"/>
  <c r="B431" i="3"/>
  <c r="A431" i="3"/>
  <c r="L430" i="3"/>
  <c r="K430" i="3"/>
  <c r="J430" i="3"/>
  <c r="I430" i="3"/>
  <c r="H430" i="3"/>
  <c r="G430" i="3"/>
  <c r="F430" i="3"/>
  <c r="E430" i="3"/>
  <c r="D430" i="3"/>
  <c r="B430" i="3"/>
  <c r="A430" i="3"/>
  <c r="L429" i="3"/>
  <c r="K429" i="3"/>
  <c r="J429" i="3"/>
  <c r="I429" i="3"/>
  <c r="H429" i="3"/>
  <c r="G429" i="3"/>
  <c r="F429" i="3"/>
  <c r="E429" i="3"/>
  <c r="D429" i="3"/>
  <c r="B429" i="3"/>
  <c r="A429" i="3"/>
  <c r="L428" i="3"/>
  <c r="K428" i="3"/>
  <c r="J428" i="3"/>
  <c r="I428" i="3"/>
  <c r="H428" i="3"/>
  <c r="G428" i="3"/>
  <c r="F428" i="3"/>
  <c r="E428" i="3"/>
  <c r="D428" i="3"/>
  <c r="B428" i="3"/>
  <c r="A428" i="3"/>
  <c r="L427" i="3"/>
  <c r="K427" i="3"/>
  <c r="J427" i="3"/>
  <c r="I427" i="3"/>
  <c r="H427" i="3"/>
  <c r="G427" i="3"/>
  <c r="F427" i="3"/>
  <c r="E427" i="3"/>
  <c r="D427" i="3"/>
  <c r="B427" i="3"/>
  <c r="A427" i="3"/>
  <c r="L426" i="3"/>
  <c r="K426" i="3"/>
  <c r="J426" i="3"/>
  <c r="I426" i="3"/>
  <c r="H426" i="3"/>
  <c r="G426" i="3"/>
  <c r="F426" i="3"/>
  <c r="E426" i="3"/>
  <c r="D426" i="3"/>
  <c r="B426" i="3"/>
  <c r="A426" i="3"/>
  <c r="L425" i="3"/>
  <c r="K425" i="3"/>
  <c r="J425" i="3"/>
  <c r="I425" i="3"/>
  <c r="H425" i="3"/>
  <c r="G425" i="3"/>
  <c r="F425" i="3"/>
  <c r="E425" i="3"/>
  <c r="D425" i="3"/>
  <c r="B425" i="3"/>
  <c r="A425" i="3"/>
  <c r="L424" i="3"/>
  <c r="K424" i="3"/>
  <c r="J424" i="3"/>
  <c r="I424" i="3"/>
  <c r="H424" i="3"/>
  <c r="G424" i="3"/>
  <c r="F424" i="3"/>
  <c r="E424" i="3"/>
  <c r="D424" i="3"/>
  <c r="B424" i="3"/>
  <c r="A424" i="3"/>
  <c r="L423" i="3"/>
  <c r="K423" i="3"/>
  <c r="J423" i="3"/>
  <c r="I423" i="3"/>
  <c r="H423" i="3"/>
  <c r="G423" i="3"/>
  <c r="F423" i="3"/>
  <c r="E423" i="3"/>
  <c r="D423" i="3"/>
  <c r="B423" i="3"/>
  <c r="A423" i="3"/>
  <c r="L422" i="3"/>
  <c r="K422" i="3"/>
  <c r="J422" i="3"/>
  <c r="I422" i="3"/>
  <c r="H422" i="3"/>
  <c r="G422" i="3"/>
  <c r="F422" i="3"/>
  <c r="E422" i="3"/>
  <c r="D422" i="3"/>
  <c r="B422" i="3"/>
  <c r="A422" i="3"/>
  <c r="L421" i="3"/>
  <c r="K421" i="3"/>
  <c r="J421" i="3"/>
  <c r="I421" i="3"/>
  <c r="H421" i="3"/>
  <c r="G421" i="3"/>
  <c r="F421" i="3"/>
  <c r="E421" i="3"/>
  <c r="D421" i="3"/>
  <c r="B421" i="3"/>
  <c r="A421" i="3"/>
  <c r="L420" i="3"/>
  <c r="K420" i="3"/>
  <c r="J420" i="3"/>
  <c r="I420" i="3"/>
  <c r="H420" i="3"/>
  <c r="G420" i="3"/>
  <c r="F420" i="3"/>
  <c r="E420" i="3"/>
  <c r="D420" i="3"/>
  <c r="B420" i="3"/>
  <c r="A420" i="3"/>
  <c r="L419" i="3"/>
  <c r="K419" i="3"/>
  <c r="J419" i="3"/>
  <c r="I419" i="3"/>
  <c r="H419" i="3"/>
  <c r="G419" i="3"/>
  <c r="F419" i="3"/>
  <c r="E419" i="3"/>
  <c r="D419" i="3"/>
  <c r="B419" i="3"/>
  <c r="A419" i="3"/>
  <c r="L418" i="3"/>
  <c r="K418" i="3"/>
  <c r="J418" i="3"/>
  <c r="I418" i="3"/>
  <c r="H418" i="3"/>
  <c r="G418" i="3"/>
  <c r="F418" i="3"/>
  <c r="E418" i="3"/>
  <c r="D418" i="3"/>
  <c r="B418" i="3"/>
  <c r="A418" i="3"/>
  <c r="L417" i="3"/>
  <c r="K417" i="3"/>
  <c r="J417" i="3"/>
  <c r="I417" i="3"/>
  <c r="H417" i="3"/>
  <c r="G417" i="3"/>
  <c r="F417" i="3"/>
  <c r="E417" i="3"/>
  <c r="D417" i="3"/>
  <c r="B417" i="3"/>
  <c r="A417" i="3"/>
  <c r="L416" i="3"/>
  <c r="K416" i="3"/>
  <c r="J416" i="3"/>
  <c r="I416" i="3"/>
  <c r="H416" i="3"/>
  <c r="G416" i="3"/>
  <c r="F416" i="3"/>
  <c r="E416" i="3"/>
  <c r="D416" i="3"/>
  <c r="B416" i="3"/>
  <c r="A416" i="3"/>
  <c r="L415" i="3"/>
  <c r="K415" i="3"/>
  <c r="J415" i="3"/>
  <c r="I415" i="3"/>
  <c r="H415" i="3"/>
  <c r="G415" i="3"/>
  <c r="F415" i="3"/>
  <c r="E415" i="3"/>
  <c r="D415" i="3"/>
  <c r="B415" i="3"/>
  <c r="A415" i="3"/>
  <c r="L414" i="3"/>
  <c r="K414" i="3"/>
  <c r="J414" i="3"/>
  <c r="I414" i="3"/>
  <c r="H414" i="3"/>
  <c r="G414" i="3"/>
  <c r="F414" i="3"/>
  <c r="E414" i="3"/>
  <c r="D414" i="3"/>
  <c r="B414" i="3"/>
  <c r="A414" i="3"/>
  <c r="L413" i="3"/>
  <c r="K413" i="3"/>
  <c r="J413" i="3"/>
  <c r="I413" i="3"/>
  <c r="H413" i="3"/>
  <c r="G413" i="3"/>
  <c r="F413" i="3"/>
  <c r="E413" i="3"/>
  <c r="D413" i="3"/>
  <c r="B413" i="3"/>
  <c r="A413" i="3"/>
  <c r="L412" i="3"/>
  <c r="K412" i="3"/>
  <c r="J412" i="3"/>
  <c r="I412" i="3"/>
  <c r="H412" i="3"/>
  <c r="G412" i="3"/>
  <c r="F412" i="3"/>
  <c r="E412" i="3"/>
  <c r="D412" i="3"/>
  <c r="B412" i="3"/>
  <c r="A412" i="3"/>
  <c r="L411" i="3"/>
  <c r="K411" i="3"/>
  <c r="J411" i="3"/>
  <c r="I411" i="3"/>
  <c r="H411" i="3"/>
  <c r="G411" i="3"/>
  <c r="F411" i="3"/>
  <c r="E411" i="3"/>
  <c r="D411" i="3"/>
  <c r="B411" i="3"/>
  <c r="A411" i="3"/>
  <c r="L410" i="3"/>
  <c r="K410" i="3"/>
  <c r="J410" i="3"/>
  <c r="I410" i="3"/>
  <c r="H410" i="3"/>
  <c r="G410" i="3"/>
  <c r="F410" i="3"/>
  <c r="E410" i="3"/>
  <c r="D410" i="3"/>
  <c r="B410" i="3"/>
  <c r="A410" i="3"/>
  <c r="M409" i="3"/>
  <c r="L409" i="3"/>
  <c r="K409" i="3"/>
  <c r="J409" i="3"/>
  <c r="I409" i="3"/>
  <c r="H409" i="3"/>
  <c r="G409" i="3"/>
  <c r="F409" i="3"/>
  <c r="E409" i="3"/>
  <c r="D409" i="3"/>
  <c r="B409" i="3"/>
  <c r="A409" i="3"/>
  <c r="M408" i="3"/>
  <c r="L408" i="3"/>
  <c r="K408" i="3"/>
  <c r="J408" i="3"/>
  <c r="I408" i="3"/>
  <c r="H408" i="3"/>
  <c r="G408" i="3"/>
  <c r="F408" i="3"/>
  <c r="E408" i="3"/>
  <c r="D408" i="3"/>
  <c r="B408" i="3"/>
  <c r="A408" i="3"/>
  <c r="L407" i="3"/>
  <c r="K407" i="3"/>
  <c r="J407" i="3"/>
  <c r="I407" i="3"/>
  <c r="H407" i="3"/>
  <c r="G407" i="3"/>
  <c r="F407" i="3"/>
  <c r="E407" i="3"/>
  <c r="D407" i="3"/>
  <c r="B407" i="3"/>
  <c r="A407" i="3"/>
  <c r="L406" i="3"/>
  <c r="K406" i="3"/>
  <c r="J406" i="3"/>
  <c r="I406" i="3"/>
  <c r="H406" i="3"/>
  <c r="G406" i="3"/>
  <c r="F406" i="3"/>
  <c r="E406" i="3"/>
  <c r="D406" i="3"/>
  <c r="B406" i="3"/>
  <c r="A406" i="3"/>
  <c r="L405" i="3"/>
  <c r="K405" i="3"/>
  <c r="J405" i="3"/>
  <c r="I405" i="3"/>
  <c r="H405" i="3"/>
  <c r="G405" i="3"/>
  <c r="F405" i="3"/>
  <c r="E405" i="3"/>
  <c r="D405" i="3"/>
  <c r="B405" i="3"/>
  <c r="A405" i="3"/>
  <c r="L404" i="3"/>
  <c r="K404" i="3"/>
  <c r="J404" i="3"/>
  <c r="I404" i="3"/>
  <c r="H404" i="3"/>
  <c r="G404" i="3"/>
  <c r="F404" i="3"/>
  <c r="E404" i="3"/>
  <c r="D404" i="3"/>
  <c r="B404" i="3"/>
  <c r="A404" i="3"/>
  <c r="L403" i="3"/>
  <c r="K403" i="3"/>
  <c r="J403" i="3"/>
  <c r="I403" i="3"/>
  <c r="H403" i="3"/>
  <c r="G403" i="3"/>
  <c r="F403" i="3"/>
  <c r="E403" i="3"/>
  <c r="D403" i="3"/>
  <c r="B403" i="3"/>
  <c r="A403" i="3"/>
  <c r="L402" i="3"/>
  <c r="K402" i="3"/>
  <c r="J402" i="3"/>
  <c r="I402" i="3"/>
  <c r="H402" i="3"/>
  <c r="G402" i="3"/>
  <c r="F402" i="3"/>
  <c r="E402" i="3"/>
  <c r="D402" i="3"/>
  <c r="B402" i="3"/>
  <c r="A402" i="3"/>
  <c r="L401" i="3"/>
  <c r="K401" i="3"/>
  <c r="J401" i="3"/>
  <c r="I401" i="3"/>
  <c r="H401" i="3"/>
  <c r="G401" i="3"/>
  <c r="F401" i="3"/>
  <c r="E401" i="3"/>
  <c r="D401" i="3"/>
  <c r="B401" i="3"/>
  <c r="A401" i="3"/>
  <c r="L400" i="3"/>
  <c r="K400" i="3"/>
  <c r="J400" i="3"/>
  <c r="I400" i="3"/>
  <c r="H400" i="3"/>
  <c r="G400" i="3"/>
  <c r="F400" i="3"/>
  <c r="E400" i="3"/>
  <c r="D400" i="3"/>
  <c r="B400" i="3"/>
  <c r="A400" i="3"/>
  <c r="L399" i="3"/>
  <c r="K399" i="3"/>
  <c r="J399" i="3"/>
  <c r="I399" i="3"/>
  <c r="H399" i="3"/>
  <c r="G399" i="3"/>
  <c r="F399" i="3"/>
  <c r="E399" i="3"/>
  <c r="D399" i="3"/>
  <c r="B399" i="3"/>
  <c r="A399" i="3"/>
  <c r="L398" i="3"/>
  <c r="K398" i="3"/>
  <c r="J398" i="3"/>
  <c r="I398" i="3"/>
  <c r="H398" i="3"/>
  <c r="G398" i="3"/>
  <c r="F398" i="3"/>
  <c r="E398" i="3"/>
  <c r="D398" i="3"/>
  <c r="B398" i="3"/>
  <c r="A398" i="3"/>
  <c r="L397" i="3"/>
  <c r="K397" i="3"/>
  <c r="J397" i="3"/>
  <c r="I397" i="3"/>
  <c r="H397" i="3"/>
  <c r="G397" i="3"/>
  <c r="F397" i="3"/>
  <c r="E397" i="3"/>
  <c r="D397" i="3"/>
  <c r="B397" i="3"/>
  <c r="A397" i="3"/>
  <c r="L396" i="3"/>
  <c r="K396" i="3"/>
  <c r="J396" i="3"/>
  <c r="I396" i="3"/>
  <c r="H396" i="3"/>
  <c r="G396" i="3"/>
  <c r="F396" i="3"/>
  <c r="E396" i="3"/>
  <c r="D396" i="3"/>
  <c r="B396" i="3"/>
  <c r="A396" i="3"/>
  <c r="L395" i="3"/>
  <c r="K395" i="3"/>
  <c r="J395" i="3"/>
  <c r="I395" i="3"/>
  <c r="H395" i="3"/>
  <c r="G395" i="3"/>
  <c r="F395" i="3"/>
  <c r="E395" i="3"/>
  <c r="D395" i="3"/>
  <c r="B395" i="3"/>
  <c r="A395" i="3"/>
  <c r="L394" i="3"/>
  <c r="K394" i="3"/>
  <c r="J394" i="3"/>
  <c r="I394" i="3"/>
  <c r="H394" i="3"/>
  <c r="G394" i="3"/>
  <c r="F394" i="3"/>
  <c r="E394" i="3"/>
  <c r="D394" i="3"/>
  <c r="B394" i="3"/>
  <c r="A394" i="3"/>
  <c r="L393" i="3"/>
  <c r="K393" i="3"/>
  <c r="J393" i="3"/>
  <c r="I393" i="3"/>
  <c r="H393" i="3"/>
  <c r="G393" i="3"/>
  <c r="F393" i="3"/>
  <c r="E393" i="3"/>
  <c r="D393" i="3"/>
  <c r="B393" i="3"/>
  <c r="A393" i="3"/>
  <c r="L392" i="3"/>
  <c r="K392" i="3"/>
  <c r="J392" i="3"/>
  <c r="I392" i="3"/>
  <c r="H392" i="3"/>
  <c r="G392" i="3"/>
  <c r="F392" i="3"/>
  <c r="E392" i="3"/>
  <c r="D392" i="3"/>
  <c r="B392" i="3"/>
  <c r="A392" i="3"/>
  <c r="L391" i="3"/>
  <c r="K391" i="3"/>
  <c r="J391" i="3"/>
  <c r="I391" i="3"/>
  <c r="H391" i="3"/>
  <c r="G391" i="3"/>
  <c r="F391" i="3"/>
  <c r="E391" i="3"/>
  <c r="D391" i="3"/>
  <c r="B391" i="3"/>
  <c r="A391" i="3"/>
  <c r="L390" i="3"/>
  <c r="K390" i="3"/>
  <c r="J390" i="3"/>
  <c r="I390" i="3"/>
  <c r="H390" i="3"/>
  <c r="G390" i="3"/>
  <c r="F390" i="3"/>
  <c r="E390" i="3"/>
  <c r="D390" i="3"/>
  <c r="B390" i="3"/>
  <c r="A390" i="3"/>
  <c r="L389" i="3"/>
  <c r="K389" i="3"/>
  <c r="J389" i="3"/>
  <c r="I389" i="3"/>
  <c r="H389" i="3"/>
  <c r="G389" i="3"/>
  <c r="F389" i="3"/>
  <c r="E389" i="3"/>
  <c r="D389" i="3"/>
  <c r="B389" i="3"/>
  <c r="A389" i="3"/>
  <c r="L388" i="3"/>
  <c r="K388" i="3"/>
  <c r="J388" i="3"/>
  <c r="I388" i="3"/>
  <c r="H388" i="3"/>
  <c r="G388" i="3"/>
  <c r="F388" i="3"/>
  <c r="E388" i="3"/>
  <c r="D388" i="3"/>
  <c r="B388" i="3"/>
  <c r="A388" i="3"/>
  <c r="L387" i="3"/>
  <c r="K387" i="3"/>
  <c r="J387" i="3"/>
  <c r="I387" i="3"/>
  <c r="H387" i="3"/>
  <c r="G387" i="3"/>
  <c r="F387" i="3"/>
  <c r="E387" i="3"/>
  <c r="D387" i="3"/>
  <c r="B387" i="3"/>
  <c r="A387" i="3"/>
  <c r="L386" i="3"/>
  <c r="K386" i="3"/>
  <c r="J386" i="3"/>
  <c r="I386" i="3"/>
  <c r="H386" i="3"/>
  <c r="G386" i="3"/>
  <c r="F386" i="3"/>
  <c r="E386" i="3"/>
  <c r="D386" i="3"/>
  <c r="B386" i="3"/>
  <c r="A386" i="3"/>
  <c r="L385" i="3"/>
  <c r="K385" i="3"/>
  <c r="J385" i="3"/>
  <c r="I385" i="3"/>
  <c r="H385" i="3"/>
  <c r="G385" i="3"/>
  <c r="F385" i="3"/>
  <c r="E385" i="3"/>
  <c r="D385" i="3"/>
  <c r="B385" i="3"/>
  <c r="A385" i="3"/>
  <c r="L384" i="3"/>
  <c r="K384" i="3"/>
  <c r="J384" i="3"/>
  <c r="I384" i="3"/>
  <c r="H384" i="3"/>
  <c r="G384" i="3"/>
  <c r="F384" i="3"/>
  <c r="E384" i="3"/>
  <c r="D384" i="3"/>
  <c r="B384" i="3"/>
  <c r="A384" i="3"/>
  <c r="L383" i="3"/>
  <c r="K383" i="3"/>
  <c r="J383" i="3"/>
  <c r="I383" i="3"/>
  <c r="H383" i="3"/>
  <c r="G383" i="3"/>
  <c r="F383" i="3"/>
  <c r="E383" i="3"/>
  <c r="D383" i="3"/>
  <c r="B383" i="3"/>
  <c r="A383" i="3"/>
  <c r="L382" i="3"/>
  <c r="K382" i="3"/>
  <c r="J382" i="3"/>
  <c r="I382" i="3"/>
  <c r="H382" i="3"/>
  <c r="G382" i="3"/>
  <c r="F382" i="3"/>
  <c r="E382" i="3"/>
  <c r="D382" i="3"/>
  <c r="B382" i="3"/>
  <c r="A382" i="3"/>
  <c r="L381" i="3"/>
  <c r="K381" i="3"/>
  <c r="J381" i="3"/>
  <c r="I381" i="3"/>
  <c r="H381" i="3"/>
  <c r="G381" i="3"/>
  <c r="F381" i="3"/>
  <c r="E381" i="3"/>
  <c r="D381" i="3"/>
  <c r="B381" i="3"/>
  <c r="A381" i="3"/>
  <c r="L380" i="3"/>
  <c r="K380" i="3"/>
  <c r="J380" i="3"/>
  <c r="I380" i="3"/>
  <c r="H380" i="3"/>
  <c r="G380" i="3"/>
  <c r="F380" i="3"/>
  <c r="E380" i="3"/>
  <c r="D380" i="3"/>
  <c r="B380" i="3"/>
  <c r="A380" i="3"/>
  <c r="L379" i="3"/>
  <c r="K379" i="3"/>
  <c r="J379" i="3"/>
  <c r="I379" i="3"/>
  <c r="H379" i="3"/>
  <c r="G379" i="3"/>
  <c r="F379" i="3"/>
  <c r="E379" i="3"/>
  <c r="D379" i="3"/>
  <c r="B379" i="3"/>
  <c r="A379" i="3"/>
  <c r="L378" i="3"/>
  <c r="K378" i="3"/>
  <c r="J378" i="3"/>
  <c r="I378" i="3"/>
  <c r="H378" i="3"/>
  <c r="G378" i="3"/>
  <c r="F378" i="3"/>
  <c r="E378" i="3"/>
  <c r="D378" i="3"/>
  <c r="B378" i="3"/>
  <c r="A378" i="3"/>
  <c r="L377" i="3"/>
  <c r="K377" i="3"/>
  <c r="J377" i="3"/>
  <c r="I377" i="3"/>
  <c r="H377" i="3"/>
  <c r="G377" i="3"/>
  <c r="F377" i="3"/>
  <c r="E377" i="3"/>
  <c r="D377" i="3"/>
  <c r="B377" i="3"/>
  <c r="A377" i="3"/>
  <c r="L376" i="3"/>
  <c r="K376" i="3"/>
  <c r="J376" i="3"/>
  <c r="I376" i="3"/>
  <c r="H376" i="3"/>
  <c r="G376" i="3"/>
  <c r="F376" i="3"/>
  <c r="E376" i="3"/>
  <c r="D376" i="3"/>
  <c r="B376" i="3"/>
  <c r="A376" i="3"/>
  <c r="L375" i="3"/>
  <c r="K375" i="3"/>
  <c r="J375" i="3"/>
  <c r="I375" i="3"/>
  <c r="H375" i="3"/>
  <c r="G375" i="3"/>
  <c r="F375" i="3"/>
  <c r="E375" i="3"/>
  <c r="D375" i="3"/>
  <c r="B375" i="3"/>
  <c r="A375" i="3"/>
  <c r="L374" i="3"/>
  <c r="K374" i="3"/>
  <c r="J374" i="3"/>
  <c r="I374" i="3"/>
  <c r="H374" i="3"/>
  <c r="G374" i="3"/>
  <c r="F374" i="3"/>
  <c r="E374" i="3"/>
  <c r="D374" i="3"/>
  <c r="B374" i="3"/>
  <c r="A374" i="3"/>
  <c r="L373" i="3"/>
  <c r="K373" i="3"/>
  <c r="J373" i="3"/>
  <c r="I373" i="3"/>
  <c r="H373" i="3"/>
  <c r="G373" i="3"/>
  <c r="F373" i="3"/>
  <c r="E373" i="3"/>
  <c r="D373" i="3"/>
  <c r="B373" i="3"/>
  <c r="A373" i="3"/>
  <c r="L372" i="3"/>
  <c r="K372" i="3"/>
  <c r="J372" i="3"/>
  <c r="I372" i="3"/>
  <c r="H372" i="3"/>
  <c r="G372" i="3"/>
  <c r="F372" i="3"/>
  <c r="E372" i="3"/>
  <c r="D372" i="3"/>
  <c r="B372" i="3"/>
  <c r="A372" i="3"/>
  <c r="L371" i="3"/>
  <c r="K371" i="3"/>
  <c r="J371" i="3"/>
  <c r="I371" i="3"/>
  <c r="H371" i="3"/>
  <c r="G371" i="3"/>
  <c r="F371" i="3"/>
  <c r="E371" i="3"/>
  <c r="D371" i="3"/>
  <c r="B371" i="3"/>
  <c r="A371" i="3"/>
  <c r="L370" i="3"/>
  <c r="K370" i="3"/>
  <c r="J370" i="3"/>
  <c r="I370" i="3"/>
  <c r="H370" i="3"/>
  <c r="G370" i="3"/>
  <c r="F370" i="3"/>
  <c r="E370" i="3"/>
  <c r="D370" i="3"/>
  <c r="B370" i="3"/>
  <c r="A370" i="3"/>
  <c r="L369" i="3"/>
  <c r="K369" i="3"/>
  <c r="J369" i="3"/>
  <c r="I369" i="3"/>
  <c r="H369" i="3"/>
  <c r="G369" i="3"/>
  <c r="F369" i="3"/>
  <c r="E369" i="3"/>
  <c r="D369" i="3"/>
  <c r="B369" i="3"/>
  <c r="A369" i="3"/>
  <c r="L368" i="3"/>
  <c r="K368" i="3"/>
  <c r="J368" i="3"/>
  <c r="I368" i="3"/>
  <c r="H368" i="3"/>
  <c r="G368" i="3"/>
  <c r="F368" i="3"/>
  <c r="E368" i="3"/>
  <c r="D368" i="3"/>
  <c r="B368" i="3"/>
  <c r="A368" i="3"/>
  <c r="L367" i="3"/>
  <c r="K367" i="3"/>
  <c r="J367" i="3"/>
  <c r="I367" i="3"/>
  <c r="H367" i="3"/>
  <c r="G367" i="3"/>
  <c r="F367" i="3"/>
  <c r="E367" i="3"/>
  <c r="D367" i="3"/>
  <c r="B367" i="3"/>
  <c r="A367" i="3"/>
  <c r="L366" i="3"/>
  <c r="K366" i="3"/>
  <c r="J366" i="3"/>
  <c r="I366" i="3"/>
  <c r="H366" i="3"/>
  <c r="G366" i="3"/>
  <c r="F366" i="3"/>
  <c r="E366" i="3"/>
  <c r="D366" i="3"/>
  <c r="B366" i="3"/>
  <c r="A366" i="3"/>
  <c r="L365" i="3"/>
  <c r="K365" i="3"/>
  <c r="J365" i="3"/>
  <c r="I365" i="3"/>
  <c r="H365" i="3"/>
  <c r="G365" i="3"/>
  <c r="F365" i="3"/>
  <c r="E365" i="3"/>
  <c r="D365" i="3"/>
  <c r="B365" i="3"/>
  <c r="A365" i="3"/>
  <c r="L364" i="3"/>
  <c r="K364" i="3"/>
  <c r="J364" i="3"/>
  <c r="I364" i="3"/>
  <c r="H364" i="3"/>
  <c r="G364" i="3"/>
  <c r="F364" i="3"/>
  <c r="E364" i="3"/>
  <c r="D364" i="3"/>
  <c r="B364" i="3"/>
  <c r="A364" i="3"/>
  <c r="L363" i="3"/>
  <c r="K363" i="3"/>
  <c r="J363" i="3"/>
  <c r="I363" i="3"/>
  <c r="H363" i="3"/>
  <c r="G363" i="3"/>
  <c r="F363" i="3"/>
  <c r="E363" i="3"/>
  <c r="D363" i="3"/>
  <c r="B363" i="3"/>
  <c r="A363" i="3"/>
  <c r="L362" i="3"/>
  <c r="K362" i="3"/>
  <c r="J362" i="3"/>
  <c r="I362" i="3"/>
  <c r="H362" i="3"/>
  <c r="G362" i="3"/>
  <c r="F362" i="3"/>
  <c r="E362" i="3"/>
  <c r="D362" i="3"/>
  <c r="B362" i="3"/>
  <c r="A362" i="3"/>
  <c r="L361" i="3"/>
  <c r="K361" i="3"/>
  <c r="J361" i="3"/>
  <c r="I361" i="3"/>
  <c r="H361" i="3"/>
  <c r="G361" i="3"/>
  <c r="F361" i="3"/>
  <c r="E361" i="3"/>
  <c r="D361" i="3"/>
  <c r="B361" i="3"/>
  <c r="A361" i="3"/>
  <c r="L360" i="3"/>
  <c r="K360" i="3"/>
  <c r="J360" i="3"/>
  <c r="I360" i="3"/>
  <c r="H360" i="3"/>
  <c r="G360" i="3"/>
  <c r="F360" i="3"/>
  <c r="E360" i="3"/>
  <c r="D360" i="3"/>
  <c r="B360" i="3"/>
  <c r="A360" i="3"/>
  <c r="L359" i="3"/>
  <c r="K359" i="3"/>
  <c r="J359" i="3"/>
  <c r="I359" i="3"/>
  <c r="H359" i="3"/>
  <c r="G359" i="3"/>
  <c r="F359" i="3"/>
  <c r="E359" i="3"/>
  <c r="D359" i="3"/>
  <c r="B359" i="3"/>
  <c r="A359" i="3"/>
  <c r="L358" i="3"/>
  <c r="K358" i="3"/>
  <c r="J358" i="3"/>
  <c r="I358" i="3"/>
  <c r="H358" i="3"/>
  <c r="G358" i="3"/>
  <c r="F358" i="3"/>
  <c r="E358" i="3"/>
  <c r="D358" i="3"/>
  <c r="B358" i="3"/>
  <c r="A358" i="3"/>
  <c r="L357" i="3"/>
  <c r="K357" i="3"/>
  <c r="J357" i="3"/>
  <c r="I357" i="3"/>
  <c r="H357" i="3"/>
  <c r="G357" i="3"/>
  <c r="F357" i="3"/>
  <c r="E357" i="3"/>
  <c r="D357" i="3"/>
  <c r="B357" i="3"/>
  <c r="A357" i="3"/>
  <c r="L356" i="3"/>
  <c r="K356" i="3"/>
  <c r="J356" i="3"/>
  <c r="I356" i="3"/>
  <c r="H356" i="3"/>
  <c r="G356" i="3"/>
  <c r="F356" i="3"/>
  <c r="E356" i="3"/>
  <c r="D356" i="3"/>
  <c r="B356" i="3"/>
  <c r="A356" i="3"/>
  <c r="L355" i="3"/>
  <c r="K355" i="3"/>
  <c r="J355" i="3"/>
  <c r="I355" i="3"/>
  <c r="H355" i="3"/>
  <c r="G355" i="3"/>
  <c r="F355" i="3"/>
  <c r="E355" i="3"/>
  <c r="D355" i="3"/>
  <c r="B355" i="3"/>
  <c r="A355" i="3"/>
  <c r="L354" i="3"/>
  <c r="K354" i="3"/>
  <c r="J354" i="3"/>
  <c r="I354" i="3"/>
  <c r="H354" i="3"/>
  <c r="G354" i="3"/>
  <c r="F354" i="3"/>
  <c r="E354" i="3"/>
  <c r="D354" i="3"/>
  <c r="B354" i="3"/>
  <c r="A354" i="3"/>
  <c r="L353" i="3"/>
  <c r="K353" i="3"/>
  <c r="J353" i="3"/>
  <c r="I353" i="3"/>
  <c r="H353" i="3"/>
  <c r="G353" i="3"/>
  <c r="F353" i="3"/>
  <c r="E353" i="3"/>
  <c r="D353" i="3"/>
  <c r="B353" i="3"/>
  <c r="A353" i="3"/>
  <c r="L352" i="3"/>
  <c r="K352" i="3"/>
  <c r="J352" i="3"/>
  <c r="I352" i="3"/>
  <c r="H352" i="3"/>
  <c r="G352" i="3"/>
  <c r="F352" i="3"/>
  <c r="E352" i="3"/>
  <c r="D352" i="3"/>
  <c r="B352" i="3"/>
  <c r="A352" i="3"/>
  <c r="L351" i="3"/>
  <c r="K351" i="3"/>
  <c r="J351" i="3"/>
  <c r="I351" i="3"/>
  <c r="H351" i="3"/>
  <c r="G351" i="3"/>
  <c r="F351" i="3"/>
  <c r="E351" i="3"/>
  <c r="D351" i="3"/>
  <c r="B351" i="3"/>
  <c r="A351" i="3"/>
  <c r="L350" i="3"/>
  <c r="K350" i="3"/>
  <c r="J350" i="3"/>
  <c r="I350" i="3"/>
  <c r="H350" i="3"/>
  <c r="G350" i="3"/>
  <c r="F350" i="3"/>
  <c r="E350" i="3"/>
  <c r="D350" i="3"/>
  <c r="B350" i="3"/>
  <c r="A350" i="3"/>
  <c r="L349" i="3"/>
  <c r="K349" i="3"/>
  <c r="J349" i="3"/>
  <c r="I349" i="3"/>
  <c r="H349" i="3"/>
  <c r="G349" i="3"/>
  <c r="F349" i="3"/>
  <c r="E349" i="3"/>
  <c r="D349" i="3"/>
  <c r="B349" i="3"/>
  <c r="A349" i="3"/>
  <c r="L348" i="3"/>
  <c r="K348" i="3"/>
  <c r="J348" i="3"/>
  <c r="I348" i="3"/>
  <c r="H348" i="3"/>
  <c r="G348" i="3"/>
  <c r="F348" i="3"/>
  <c r="E348" i="3"/>
  <c r="D348" i="3"/>
  <c r="B348" i="3"/>
  <c r="A348" i="3"/>
  <c r="L347" i="3"/>
  <c r="K347" i="3"/>
  <c r="J347" i="3"/>
  <c r="I347" i="3"/>
  <c r="H347" i="3"/>
  <c r="G347" i="3"/>
  <c r="F347" i="3"/>
  <c r="E347" i="3"/>
  <c r="D347" i="3"/>
  <c r="B347" i="3"/>
  <c r="A347" i="3"/>
  <c r="L346" i="3"/>
  <c r="K346" i="3"/>
  <c r="J346" i="3"/>
  <c r="I346" i="3"/>
  <c r="H346" i="3"/>
  <c r="G346" i="3"/>
  <c r="F346" i="3"/>
  <c r="E346" i="3"/>
  <c r="D346" i="3"/>
  <c r="B346" i="3"/>
  <c r="A346" i="3"/>
  <c r="L345" i="3"/>
  <c r="K345" i="3"/>
  <c r="J345" i="3"/>
  <c r="I345" i="3"/>
  <c r="H345" i="3"/>
  <c r="G345" i="3"/>
  <c r="F345" i="3"/>
  <c r="E345" i="3"/>
  <c r="D345" i="3"/>
  <c r="B345" i="3"/>
  <c r="A345" i="3"/>
  <c r="L344" i="3"/>
  <c r="K344" i="3"/>
  <c r="J344" i="3"/>
  <c r="I344" i="3"/>
  <c r="H344" i="3"/>
  <c r="G344" i="3"/>
  <c r="F344" i="3"/>
  <c r="E344" i="3"/>
  <c r="D344" i="3"/>
  <c r="B344" i="3"/>
  <c r="A344" i="3"/>
  <c r="L343" i="3"/>
  <c r="K343" i="3"/>
  <c r="J343" i="3"/>
  <c r="I343" i="3"/>
  <c r="H343" i="3"/>
  <c r="G343" i="3"/>
  <c r="F343" i="3"/>
  <c r="E343" i="3"/>
  <c r="D343" i="3"/>
  <c r="B343" i="3"/>
  <c r="A343" i="3"/>
  <c r="L342" i="3"/>
  <c r="K342" i="3"/>
  <c r="J342" i="3"/>
  <c r="I342" i="3"/>
  <c r="H342" i="3"/>
  <c r="G342" i="3"/>
  <c r="F342" i="3"/>
  <c r="E342" i="3"/>
  <c r="D342" i="3"/>
  <c r="B342" i="3"/>
  <c r="A342" i="3"/>
  <c r="L341" i="3"/>
  <c r="K341" i="3"/>
  <c r="J341" i="3"/>
  <c r="I341" i="3"/>
  <c r="H341" i="3"/>
  <c r="G341" i="3"/>
  <c r="F341" i="3"/>
  <c r="E341" i="3"/>
  <c r="D341" i="3"/>
  <c r="B341" i="3"/>
  <c r="A341" i="3"/>
  <c r="L340" i="3"/>
  <c r="K340" i="3"/>
  <c r="J340" i="3"/>
  <c r="I340" i="3"/>
  <c r="H340" i="3"/>
  <c r="G340" i="3"/>
  <c r="F340" i="3"/>
  <c r="E340" i="3"/>
  <c r="D340" i="3"/>
  <c r="B340" i="3"/>
  <c r="A340" i="3"/>
  <c r="L339" i="3"/>
  <c r="K339" i="3"/>
  <c r="J339" i="3"/>
  <c r="I339" i="3"/>
  <c r="H339" i="3"/>
  <c r="G339" i="3"/>
  <c r="F339" i="3"/>
  <c r="E339" i="3"/>
  <c r="D339" i="3"/>
  <c r="B339" i="3"/>
  <c r="A339" i="3"/>
  <c r="L338" i="3"/>
  <c r="K338" i="3"/>
  <c r="J338" i="3"/>
  <c r="I338" i="3"/>
  <c r="H338" i="3"/>
  <c r="G338" i="3"/>
  <c r="F338" i="3"/>
  <c r="E338" i="3"/>
  <c r="D338" i="3"/>
  <c r="B338" i="3"/>
  <c r="A338" i="3"/>
  <c r="L337" i="3"/>
  <c r="K337" i="3"/>
  <c r="J337" i="3"/>
  <c r="I337" i="3"/>
  <c r="H337" i="3"/>
  <c r="G337" i="3"/>
  <c r="F337" i="3"/>
  <c r="E337" i="3"/>
  <c r="D337" i="3"/>
  <c r="B337" i="3"/>
  <c r="A337" i="3"/>
  <c r="L336" i="3"/>
  <c r="K336" i="3"/>
  <c r="J336" i="3"/>
  <c r="I336" i="3"/>
  <c r="H336" i="3"/>
  <c r="G336" i="3"/>
  <c r="F336" i="3"/>
  <c r="E336" i="3"/>
  <c r="D336" i="3"/>
  <c r="B336" i="3"/>
  <c r="A336" i="3"/>
  <c r="L335" i="3"/>
  <c r="K335" i="3"/>
  <c r="J335" i="3"/>
  <c r="I335" i="3"/>
  <c r="H335" i="3"/>
  <c r="G335" i="3"/>
  <c r="F335" i="3"/>
  <c r="E335" i="3"/>
  <c r="D335" i="3"/>
  <c r="B335" i="3"/>
  <c r="A335" i="3"/>
  <c r="L334" i="3"/>
  <c r="K334" i="3"/>
  <c r="J334" i="3"/>
  <c r="I334" i="3"/>
  <c r="H334" i="3"/>
  <c r="G334" i="3"/>
  <c r="F334" i="3"/>
  <c r="E334" i="3"/>
  <c r="D334" i="3"/>
  <c r="B334" i="3"/>
  <c r="A334" i="3"/>
  <c r="L333" i="3"/>
  <c r="K333" i="3"/>
  <c r="J333" i="3"/>
  <c r="I333" i="3"/>
  <c r="H333" i="3"/>
  <c r="G333" i="3"/>
  <c r="F333" i="3"/>
  <c r="E333" i="3"/>
  <c r="D333" i="3"/>
  <c r="B333" i="3"/>
  <c r="A333" i="3"/>
  <c r="L332" i="3"/>
  <c r="K332" i="3"/>
  <c r="J332" i="3"/>
  <c r="I332" i="3"/>
  <c r="H332" i="3"/>
  <c r="G332" i="3"/>
  <c r="F332" i="3"/>
  <c r="E332" i="3"/>
  <c r="D332" i="3"/>
  <c r="B332" i="3"/>
  <c r="A332" i="3"/>
  <c r="L331" i="3"/>
  <c r="K331" i="3"/>
  <c r="J331" i="3"/>
  <c r="I331" i="3"/>
  <c r="H331" i="3"/>
  <c r="G331" i="3"/>
  <c r="F331" i="3"/>
  <c r="E331" i="3"/>
  <c r="D331" i="3"/>
  <c r="B331" i="3"/>
  <c r="A331" i="3"/>
  <c r="L330" i="3"/>
  <c r="K330" i="3"/>
  <c r="J330" i="3"/>
  <c r="I330" i="3"/>
  <c r="H330" i="3"/>
  <c r="G330" i="3"/>
  <c r="F330" i="3"/>
  <c r="E330" i="3"/>
  <c r="D330" i="3"/>
  <c r="B330" i="3"/>
  <c r="A330" i="3"/>
  <c r="L329" i="3"/>
  <c r="K329" i="3"/>
  <c r="J329" i="3"/>
  <c r="I329" i="3"/>
  <c r="H329" i="3"/>
  <c r="G329" i="3"/>
  <c r="F329" i="3"/>
  <c r="E329" i="3"/>
  <c r="D329" i="3"/>
  <c r="B329" i="3"/>
  <c r="A329" i="3"/>
  <c r="L328" i="3"/>
  <c r="K328" i="3"/>
  <c r="J328" i="3"/>
  <c r="I328" i="3"/>
  <c r="H328" i="3"/>
  <c r="G328" i="3"/>
  <c r="F328" i="3"/>
  <c r="E328" i="3"/>
  <c r="D328" i="3"/>
  <c r="B328" i="3"/>
  <c r="A328" i="3"/>
  <c r="L327" i="3"/>
  <c r="K327" i="3"/>
  <c r="J327" i="3"/>
  <c r="I327" i="3"/>
  <c r="H327" i="3"/>
  <c r="G327" i="3"/>
  <c r="F327" i="3"/>
  <c r="E327" i="3"/>
  <c r="D327" i="3"/>
  <c r="B327" i="3"/>
  <c r="A327" i="3"/>
  <c r="L326" i="3"/>
  <c r="K326" i="3"/>
  <c r="J326" i="3"/>
  <c r="I326" i="3"/>
  <c r="H326" i="3"/>
  <c r="G326" i="3"/>
  <c r="F326" i="3"/>
  <c r="E326" i="3"/>
  <c r="D326" i="3"/>
  <c r="B326" i="3"/>
  <c r="A326" i="3"/>
  <c r="L325" i="3"/>
  <c r="K325" i="3"/>
  <c r="J325" i="3"/>
  <c r="I325" i="3"/>
  <c r="H325" i="3"/>
  <c r="G325" i="3"/>
  <c r="F325" i="3"/>
  <c r="E325" i="3"/>
  <c r="D325" i="3"/>
  <c r="B325" i="3"/>
  <c r="A325" i="3"/>
  <c r="L324" i="3"/>
  <c r="K324" i="3"/>
  <c r="J324" i="3"/>
  <c r="I324" i="3"/>
  <c r="H324" i="3"/>
  <c r="G324" i="3"/>
  <c r="F324" i="3"/>
  <c r="E324" i="3"/>
  <c r="D324" i="3"/>
  <c r="B324" i="3"/>
  <c r="A324" i="3"/>
  <c r="L323" i="3"/>
  <c r="K323" i="3"/>
  <c r="J323" i="3"/>
  <c r="I323" i="3"/>
  <c r="H323" i="3"/>
  <c r="G323" i="3"/>
  <c r="F323" i="3"/>
  <c r="E323" i="3"/>
  <c r="D323" i="3"/>
  <c r="B323" i="3"/>
  <c r="A323" i="3"/>
  <c r="L322" i="3"/>
  <c r="K322" i="3"/>
  <c r="J322" i="3"/>
  <c r="I322" i="3"/>
  <c r="H322" i="3"/>
  <c r="G322" i="3"/>
  <c r="F322" i="3"/>
  <c r="E322" i="3"/>
  <c r="D322" i="3"/>
  <c r="B322" i="3"/>
  <c r="A322" i="3"/>
  <c r="L321" i="3"/>
  <c r="K321" i="3"/>
  <c r="J321" i="3"/>
  <c r="I321" i="3"/>
  <c r="H321" i="3"/>
  <c r="G321" i="3"/>
  <c r="F321" i="3"/>
  <c r="E321" i="3"/>
  <c r="D321" i="3"/>
  <c r="B321" i="3"/>
  <c r="A321" i="3"/>
  <c r="L320" i="3"/>
  <c r="K320" i="3"/>
  <c r="J320" i="3"/>
  <c r="I320" i="3"/>
  <c r="H320" i="3"/>
  <c r="G320" i="3"/>
  <c r="F320" i="3"/>
  <c r="E320" i="3"/>
  <c r="D320" i="3"/>
  <c r="B320" i="3"/>
  <c r="A320" i="3"/>
  <c r="L319" i="3"/>
  <c r="K319" i="3"/>
  <c r="J319" i="3"/>
  <c r="I319" i="3"/>
  <c r="H319" i="3"/>
  <c r="G319" i="3"/>
  <c r="F319" i="3"/>
  <c r="E319" i="3"/>
  <c r="D319" i="3"/>
  <c r="B319" i="3"/>
  <c r="A319" i="3"/>
  <c r="L318" i="3"/>
  <c r="K318" i="3"/>
  <c r="J318" i="3"/>
  <c r="I318" i="3"/>
  <c r="H318" i="3"/>
  <c r="G318" i="3"/>
  <c r="F318" i="3"/>
  <c r="E318" i="3"/>
  <c r="D318" i="3"/>
  <c r="B318" i="3"/>
  <c r="A318" i="3"/>
  <c r="L317" i="3"/>
  <c r="K317" i="3"/>
  <c r="J317" i="3"/>
  <c r="I317" i="3"/>
  <c r="H317" i="3"/>
  <c r="G317" i="3"/>
  <c r="F317" i="3"/>
  <c r="E317" i="3"/>
  <c r="D317" i="3"/>
  <c r="B317" i="3"/>
  <c r="A317" i="3"/>
  <c r="L316" i="3"/>
  <c r="K316" i="3"/>
  <c r="J316" i="3"/>
  <c r="I316" i="3"/>
  <c r="H316" i="3"/>
  <c r="G316" i="3"/>
  <c r="F316" i="3"/>
  <c r="E316" i="3"/>
  <c r="D316" i="3"/>
  <c r="B316" i="3"/>
  <c r="A316" i="3"/>
  <c r="L315" i="3"/>
  <c r="K315" i="3"/>
  <c r="J315" i="3"/>
  <c r="I315" i="3"/>
  <c r="H315" i="3"/>
  <c r="G315" i="3"/>
  <c r="F315" i="3"/>
  <c r="E315" i="3"/>
  <c r="D315" i="3"/>
  <c r="B315" i="3"/>
  <c r="A315" i="3"/>
  <c r="L314" i="3"/>
  <c r="K314" i="3"/>
  <c r="J314" i="3"/>
  <c r="I314" i="3"/>
  <c r="H314" i="3"/>
  <c r="G314" i="3"/>
  <c r="F314" i="3"/>
  <c r="E314" i="3"/>
  <c r="D314" i="3"/>
  <c r="B314" i="3"/>
  <c r="A314" i="3"/>
  <c r="L313" i="3"/>
  <c r="K313" i="3"/>
  <c r="J313" i="3"/>
  <c r="I313" i="3"/>
  <c r="H313" i="3"/>
  <c r="G313" i="3"/>
  <c r="F313" i="3"/>
  <c r="E313" i="3"/>
  <c r="D313" i="3"/>
  <c r="B313" i="3"/>
  <c r="A313" i="3"/>
  <c r="L312" i="3"/>
  <c r="K312" i="3"/>
  <c r="J312" i="3"/>
  <c r="I312" i="3"/>
  <c r="H312" i="3"/>
  <c r="G312" i="3"/>
  <c r="F312" i="3"/>
  <c r="E312" i="3"/>
  <c r="D312" i="3"/>
  <c r="B312" i="3"/>
  <c r="A312" i="3"/>
  <c r="L311" i="3"/>
  <c r="K311" i="3"/>
  <c r="J311" i="3"/>
  <c r="I311" i="3"/>
  <c r="H311" i="3"/>
  <c r="G311" i="3"/>
  <c r="F311" i="3"/>
  <c r="E311" i="3"/>
  <c r="D311" i="3"/>
  <c r="B311" i="3"/>
  <c r="A311" i="3"/>
  <c r="L310" i="3"/>
  <c r="K310" i="3"/>
  <c r="J310" i="3"/>
  <c r="I310" i="3"/>
  <c r="H310" i="3"/>
  <c r="G310" i="3"/>
  <c r="F310" i="3"/>
  <c r="E310" i="3"/>
  <c r="D310" i="3"/>
  <c r="B310" i="3"/>
  <c r="A310" i="3"/>
  <c r="L309" i="3"/>
  <c r="K309" i="3"/>
  <c r="J309" i="3"/>
  <c r="I309" i="3"/>
  <c r="H309" i="3"/>
  <c r="G309" i="3"/>
  <c r="F309" i="3"/>
  <c r="E309" i="3"/>
  <c r="D309" i="3"/>
  <c r="B309" i="3"/>
  <c r="A309" i="3"/>
  <c r="L308" i="3"/>
  <c r="K308" i="3"/>
  <c r="J308" i="3"/>
  <c r="I308" i="3"/>
  <c r="H308" i="3"/>
  <c r="G308" i="3"/>
  <c r="F308" i="3"/>
  <c r="E308" i="3"/>
  <c r="D308" i="3"/>
  <c r="B308" i="3"/>
  <c r="A308" i="3"/>
  <c r="L307" i="3"/>
  <c r="K307" i="3"/>
  <c r="J307" i="3"/>
  <c r="I307" i="3"/>
  <c r="H307" i="3"/>
  <c r="G307" i="3"/>
  <c r="F307" i="3"/>
  <c r="E307" i="3"/>
  <c r="D307" i="3"/>
  <c r="B307" i="3"/>
  <c r="A307" i="3"/>
  <c r="L306" i="3"/>
  <c r="K306" i="3"/>
  <c r="J306" i="3"/>
  <c r="I306" i="3"/>
  <c r="H306" i="3"/>
  <c r="G306" i="3"/>
  <c r="F306" i="3"/>
  <c r="E306" i="3"/>
  <c r="D306" i="3"/>
  <c r="B306" i="3"/>
  <c r="A306" i="3"/>
  <c r="L305" i="3"/>
  <c r="K305" i="3"/>
  <c r="J305" i="3"/>
  <c r="I305" i="3"/>
  <c r="H305" i="3"/>
  <c r="G305" i="3"/>
  <c r="F305" i="3"/>
  <c r="E305" i="3"/>
  <c r="D305" i="3"/>
  <c r="B305" i="3"/>
  <c r="A305" i="3"/>
  <c r="L304" i="3"/>
  <c r="K304" i="3"/>
  <c r="J304" i="3"/>
  <c r="I304" i="3"/>
  <c r="H304" i="3"/>
  <c r="G304" i="3"/>
  <c r="F304" i="3"/>
  <c r="E304" i="3"/>
  <c r="D304" i="3"/>
  <c r="B304" i="3"/>
  <c r="A304" i="3"/>
  <c r="L303" i="3"/>
  <c r="K303" i="3"/>
  <c r="J303" i="3"/>
  <c r="I303" i="3"/>
  <c r="H303" i="3"/>
  <c r="G303" i="3"/>
  <c r="F303" i="3"/>
  <c r="E303" i="3"/>
  <c r="D303" i="3"/>
  <c r="B303" i="3"/>
  <c r="A303" i="3"/>
  <c r="L302" i="3"/>
  <c r="K302" i="3"/>
  <c r="J302" i="3"/>
  <c r="I302" i="3"/>
  <c r="H302" i="3"/>
  <c r="G302" i="3"/>
  <c r="F302" i="3"/>
  <c r="E302" i="3"/>
  <c r="D302" i="3"/>
  <c r="B302" i="3"/>
  <c r="A302" i="3"/>
  <c r="L301" i="3"/>
  <c r="K301" i="3"/>
  <c r="J301" i="3"/>
  <c r="I301" i="3"/>
  <c r="H301" i="3"/>
  <c r="G301" i="3"/>
  <c r="F301" i="3"/>
  <c r="E301" i="3"/>
  <c r="D301" i="3"/>
  <c r="B301" i="3"/>
  <c r="A301" i="3"/>
  <c r="L300" i="3"/>
  <c r="K300" i="3"/>
  <c r="J300" i="3"/>
  <c r="I300" i="3"/>
  <c r="H300" i="3"/>
  <c r="G300" i="3"/>
  <c r="F300" i="3"/>
  <c r="E300" i="3"/>
  <c r="D300" i="3"/>
  <c r="B300" i="3"/>
  <c r="A300" i="3"/>
  <c r="L299" i="3"/>
  <c r="K299" i="3"/>
  <c r="J299" i="3"/>
  <c r="I299" i="3"/>
  <c r="H299" i="3"/>
  <c r="G299" i="3"/>
  <c r="F299" i="3"/>
  <c r="E299" i="3"/>
  <c r="D299" i="3"/>
  <c r="B299" i="3"/>
  <c r="A299" i="3"/>
  <c r="L298" i="3"/>
  <c r="K298" i="3"/>
  <c r="J298" i="3"/>
  <c r="I298" i="3"/>
  <c r="H298" i="3"/>
  <c r="G298" i="3"/>
  <c r="F298" i="3"/>
  <c r="E298" i="3"/>
  <c r="D298" i="3"/>
  <c r="B298" i="3"/>
  <c r="A298" i="3"/>
  <c r="L297" i="3"/>
  <c r="K297" i="3"/>
  <c r="J297" i="3"/>
  <c r="I297" i="3"/>
  <c r="H297" i="3"/>
  <c r="G297" i="3"/>
  <c r="F297" i="3"/>
  <c r="E297" i="3"/>
  <c r="D297" i="3"/>
  <c r="B297" i="3"/>
  <c r="A297" i="3"/>
  <c r="L296" i="3"/>
  <c r="K296" i="3"/>
  <c r="J296" i="3"/>
  <c r="I296" i="3"/>
  <c r="H296" i="3"/>
  <c r="G296" i="3"/>
  <c r="F296" i="3"/>
  <c r="E296" i="3"/>
  <c r="D296" i="3"/>
  <c r="B296" i="3"/>
  <c r="A296" i="3"/>
  <c r="L295" i="3"/>
  <c r="K295" i="3"/>
  <c r="J295" i="3"/>
  <c r="I295" i="3"/>
  <c r="H295" i="3"/>
  <c r="G295" i="3"/>
  <c r="F295" i="3"/>
  <c r="E295" i="3"/>
  <c r="D295" i="3"/>
  <c r="B295" i="3"/>
  <c r="A295" i="3"/>
  <c r="L294" i="3"/>
  <c r="K294" i="3"/>
  <c r="J294" i="3"/>
  <c r="I294" i="3"/>
  <c r="H294" i="3"/>
  <c r="G294" i="3"/>
  <c r="F294" i="3"/>
  <c r="E294" i="3"/>
  <c r="D294" i="3"/>
  <c r="B294" i="3"/>
  <c r="A294" i="3"/>
  <c r="L293" i="3"/>
  <c r="K293" i="3"/>
  <c r="J293" i="3"/>
  <c r="I293" i="3"/>
  <c r="H293" i="3"/>
  <c r="G293" i="3"/>
  <c r="F293" i="3"/>
  <c r="E293" i="3"/>
  <c r="D293" i="3"/>
  <c r="B293" i="3"/>
  <c r="A293" i="3"/>
  <c r="L292" i="3"/>
  <c r="K292" i="3"/>
  <c r="J292" i="3"/>
  <c r="I292" i="3"/>
  <c r="H292" i="3"/>
  <c r="G292" i="3"/>
  <c r="F292" i="3"/>
  <c r="E292" i="3"/>
  <c r="D292" i="3"/>
  <c r="B292" i="3"/>
  <c r="A292" i="3"/>
  <c r="L291" i="3"/>
  <c r="K291" i="3"/>
  <c r="J291" i="3"/>
  <c r="I291" i="3"/>
  <c r="H291" i="3"/>
  <c r="G291" i="3"/>
  <c r="F291" i="3"/>
  <c r="E291" i="3"/>
  <c r="D291" i="3"/>
  <c r="B291" i="3"/>
  <c r="A291" i="3"/>
  <c r="L290" i="3"/>
  <c r="K290" i="3"/>
  <c r="J290" i="3"/>
  <c r="I290" i="3"/>
  <c r="H290" i="3"/>
  <c r="G290" i="3"/>
  <c r="F290" i="3"/>
  <c r="E290" i="3"/>
  <c r="D290" i="3"/>
  <c r="B290" i="3"/>
  <c r="A290" i="3"/>
  <c r="L289" i="3"/>
  <c r="K289" i="3"/>
  <c r="J289" i="3"/>
  <c r="I289" i="3"/>
  <c r="H289" i="3"/>
  <c r="G289" i="3"/>
  <c r="F289" i="3"/>
  <c r="E289" i="3"/>
  <c r="D289" i="3"/>
  <c r="B289" i="3"/>
  <c r="A289" i="3"/>
  <c r="L288" i="3"/>
  <c r="K288" i="3"/>
  <c r="J288" i="3"/>
  <c r="I288" i="3"/>
  <c r="H288" i="3"/>
  <c r="G288" i="3"/>
  <c r="F288" i="3"/>
  <c r="E288" i="3"/>
  <c r="D288" i="3"/>
  <c r="B288" i="3"/>
  <c r="A288" i="3"/>
  <c r="L287" i="3"/>
  <c r="K287" i="3"/>
  <c r="J287" i="3"/>
  <c r="I287" i="3"/>
  <c r="H287" i="3"/>
  <c r="G287" i="3"/>
  <c r="F287" i="3"/>
  <c r="E287" i="3"/>
  <c r="D287" i="3"/>
  <c r="B287" i="3"/>
  <c r="A287" i="3"/>
  <c r="L286" i="3"/>
  <c r="K286" i="3"/>
  <c r="J286" i="3"/>
  <c r="I286" i="3"/>
  <c r="H286" i="3"/>
  <c r="G286" i="3"/>
  <c r="F286" i="3"/>
  <c r="E286" i="3"/>
  <c r="D286" i="3"/>
  <c r="B286" i="3"/>
  <c r="A286" i="3"/>
  <c r="L285" i="3"/>
  <c r="K285" i="3"/>
  <c r="J285" i="3"/>
  <c r="I285" i="3"/>
  <c r="H285" i="3"/>
  <c r="G285" i="3"/>
  <c r="F285" i="3"/>
  <c r="E285" i="3"/>
  <c r="D285" i="3"/>
  <c r="B285" i="3"/>
  <c r="A285" i="3"/>
  <c r="L284" i="3"/>
  <c r="K284" i="3"/>
  <c r="J284" i="3"/>
  <c r="I284" i="3"/>
  <c r="H284" i="3"/>
  <c r="G284" i="3"/>
  <c r="F284" i="3"/>
  <c r="E284" i="3"/>
  <c r="D284" i="3"/>
  <c r="B284" i="3"/>
  <c r="A284" i="3"/>
  <c r="L283" i="3"/>
  <c r="K283" i="3"/>
  <c r="J283" i="3"/>
  <c r="I283" i="3"/>
  <c r="H283" i="3"/>
  <c r="G283" i="3"/>
  <c r="F283" i="3"/>
  <c r="E283" i="3"/>
  <c r="D283" i="3"/>
  <c r="B283" i="3"/>
  <c r="A283" i="3"/>
  <c r="L282" i="3"/>
  <c r="K282" i="3"/>
  <c r="J282" i="3"/>
  <c r="I282" i="3"/>
  <c r="H282" i="3"/>
  <c r="G282" i="3"/>
  <c r="F282" i="3"/>
  <c r="E282" i="3"/>
  <c r="D282" i="3"/>
  <c r="B282" i="3"/>
  <c r="A282" i="3"/>
  <c r="L281" i="3"/>
  <c r="K281" i="3"/>
  <c r="J281" i="3"/>
  <c r="I281" i="3"/>
  <c r="H281" i="3"/>
  <c r="G281" i="3"/>
  <c r="F281" i="3"/>
  <c r="E281" i="3"/>
  <c r="D281" i="3"/>
  <c r="B281" i="3"/>
  <c r="A281" i="3"/>
  <c r="L280" i="3"/>
  <c r="K280" i="3"/>
  <c r="J280" i="3"/>
  <c r="I280" i="3"/>
  <c r="H280" i="3"/>
  <c r="G280" i="3"/>
  <c r="F280" i="3"/>
  <c r="E280" i="3"/>
  <c r="D280" i="3"/>
  <c r="B280" i="3"/>
  <c r="A280" i="3"/>
  <c r="L279" i="3"/>
  <c r="K279" i="3"/>
  <c r="J279" i="3"/>
  <c r="I279" i="3"/>
  <c r="H279" i="3"/>
  <c r="G279" i="3"/>
  <c r="F279" i="3"/>
  <c r="E279" i="3"/>
  <c r="D279" i="3"/>
  <c r="B279" i="3"/>
  <c r="A279" i="3"/>
  <c r="L278" i="3"/>
  <c r="K278" i="3"/>
  <c r="J278" i="3"/>
  <c r="I278" i="3"/>
  <c r="H278" i="3"/>
  <c r="G278" i="3"/>
  <c r="F278" i="3"/>
  <c r="E278" i="3"/>
  <c r="D278" i="3"/>
  <c r="B278" i="3"/>
  <c r="A278" i="3"/>
  <c r="L277" i="3"/>
  <c r="K277" i="3"/>
  <c r="J277" i="3"/>
  <c r="I277" i="3"/>
  <c r="H277" i="3"/>
  <c r="G277" i="3"/>
  <c r="F277" i="3"/>
  <c r="E277" i="3"/>
  <c r="D277" i="3"/>
  <c r="B277" i="3"/>
  <c r="A277" i="3"/>
  <c r="L276" i="3"/>
  <c r="K276" i="3"/>
  <c r="J276" i="3"/>
  <c r="I276" i="3"/>
  <c r="H276" i="3"/>
  <c r="G276" i="3"/>
  <c r="F276" i="3"/>
  <c r="E276" i="3"/>
  <c r="D276" i="3"/>
  <c r="B276" i="3"/>
  <c r="A276" i="3"/>
  <c r="L275" i="3"/>
  <c r="K275" i="3"/>
  <c r="J275" i="3"/>
  <c r="I275" i="3"/>
  <c r="H275" i="3"/>
  <c r="G275" i="3"/>
  <c r="F275" i="3"/>
  <c r="E275" i="3"/>
  <c r="D275" i="3"/>
  <c r="B275" i="3"/>
  <c r="A275" i="3"/>
  <c r="L274" i="3"/>
  <c r="K274" i="3"/>
  <c r="J274" i="3"/>
  <c r="I274" i="3"/>
  <c r="H274" i="3"/>
  <c r="G274" i="3"/>
  <c r="F274" i="3"/>
  <c r="E274" i="3"/>
  <c r="D274" i="3"/>
  <c r="B274" i="3"/>
  <c r="A274" i="3"/>
  <c r="L273" i="3"/>
  <c r="K273" i="3"/>
  <c r="J273" i="3"/>
  <c r="I273" i="3"/>
  <c r="H273" i="3"/>
  <c r="G273" i="3"/>
  <c r="F273" i="3"/>
  <c r="E273" i="3"/>
  <c r="D273" i="3"/>
  <c r="B273" i="3"/>
  <c r="A273" i="3"/>
  <c r="L272" i="3"/>
  <c r="K272" i="3"/>
  <c r="J272" i="3"/>
  <c r="I272" i="3"/>
  <c r="H272" i="3"/>
  <c r="G272" i="3"/>
  <c r="F272" i="3"/>
  <c r="E272" i="3"/>
  <c r="D272" i="3"/>
  <c r="B272" i="3"/>
  <c r="A272" i="3"/>
  <c r="L271" i="3"/>
  <c r="K271" i="3"/>
  <c r="J271" i="3"/>
  <c r="I271" i="3"/>
  <c r="H271" i="3"/>
  <c r="G271" i="3"/>
  <c r="F271" i="3"/>
  <c r="E271" i="3"/>
  <c r="D271" i="3"/>
  <c r="B271" i="3"/>
  <c r="A271" i="3"/>
  <c r="L270" i="3"/>
  <c r="K270" i="3"/>
  <c r="J270" i="3"/>
  <c r="I270" i="3"/>
  <c r="H270" i="3"/>
  <c r="G270" i="3"/>
  <c r="F270" i="3"/>
  <c r="E270" i="3"/>
  <c r="D270" i="3"/>
  <c r="B270" i="3"/>
  <c r="A270" i="3"/>
  <c r="L269" i="3"/>
  <c r="K269" i="3"/>
  <c r="J269" i="3"/>
  <c r="I269" i="3"/>
  <c r="H269" i="3"/>
  <c r="G269" i="3"/>
  <c r="F269" i="3"/>
  <c r="E269" i="3"/>
  <c r="D269" i="3"/>
  <c r="B269" i="3"/>
  <c r="A269" i="3"/>
  <c r="L268" i="3"/>
  <c r="K268" i="3"/>
  <c r="J268" i="3"/>
  <c r="I268" i="3"/>
  <c r="H268" i="3"/>
  <c r="G268" i="3"/>
  <c r="F268" i="3"/>
  <c r="E268" i="3"/>
  <c r="D268" i="3"/>
  <c r="B268" i="3"/>
  <c r="A268" i="3"/>
  <c r="L267" i="3"/>
  <c r="K267" i="3"/>
  <c r="J267" i="3"/>
  <c r="I267" i="3"/>
  <c r="H267" i="3"/>
  <c r="G267" i="3"/>
  <c r="F267" i="3"/>
  <c r="E267" i="3"/>
  <c r="D267" i="3"/>
  <c r="B267" i="3"/>
  <c r="A267" i="3"/>
  <c r="L266" i="3"/>
  <c r="K266" i="3"/>
  <c r="J266" i="3"/>
  <c r="I266" i="3"/>
  <c r="H266" i="3"/>
  <c r="G266" i="3"/>
  <c r="F266" i="3"/>
  <c r="E266" i="3"/>
  <c r="D266" i="3"/>
  <c r="B266" i="3"/>
  <c r="A266" i="3"/>
  <c r="L265" i="3"/>
  <c r="K265" i="3"/>
  <c r="J265" i="3"/>
  <c r="I265" i="3"/>
  <c r="H265" i="3"/>
  <c r="G265" i="3"/>
  <c r="F265" i="3"/>
  <c r="E265" i="3"/>
  <c r="D265" i="3"/>
  <c r="B265" i="3"/>
  <c r="A265" i="3"/>
  <c r="L264" i="3"/>
  <c r="K264" i="3"/>
  <c r="J264" i="3"/>
  <c r="I264" i="3"/>
  <c r="H264" i="3"/>
  <c r="G264" i="3"/>
  <c r="F264" i="3"/>
  <c r="E264" i="3"/>
  <c r="D264" i="3"/>
  <c r="B264" i="3"/>
  <c r="A264" i="3"/>
  <c r="L263" i="3"/>
  <c r="K263" i="3"/>
  <c r="J263" i="3"/>
  <c r="I263" i="3"/>
  <c r="H263" i="3"/>
  <c r="G263" i="3"/>
  <c r="F263" i="3"/>
  <c r="E263" i="3"/>
  <c r="D263" i="3"/>
  <c r="B263" i="3"/>
  <c r="A263" i="3"/>
  <c r="L262" i="3"/>
  <c r="K262" i="3"/>
  <c r="J262" i="3"/>
  <c r="I262" i="3"/>
  <c r="H262" i="3"/>
  <c r="G262" i="3"/>
  <c r="F262" i="3"/>
  <c r="E262" i="3"/>
  <c r="D262" i="3"/>
  <c r="B262" i="3"/>
  <c r="A262" i="3"/>
  <c r="L261" i="3"/>
  <c r="K261" i="3"/>
  <c r="J261" i="3"/>
  <c r="I261" i="3"/>
  <c r="H261" i="3"/>
  <c r="G261" i="3"/>
  <c r="F261" i="3"/>
  <c r="E261" i="3"/>
  <c r="D261" i="3"/>
  <c r="B261" i="3"/>
  <c r="A261" i="3"/>
  <c r="L260" i="3"/>
  <c r="K260" i="3"/>
  <c r="J260" i="3"/>
  <c r="I260" i="3"/>
  <c r="H260" i="3"/>
  <c r="G260" i="3"/>
  <c r="F260" i="3"/>
  <c r="E260" i="3"/>
  <c r="D260" i="3"/>
  <c r="B260" i="3"/>
  <c r="A260" i="3"/>
  <c r="L259" i="3"/>
  <c r="K259" i="3"/>
  <c r="J259" i="3"/>
  <c r="I259" i="3"/>
  <c r="H259" i="3"/>
  <c r="G259" i="3"/>
  <c r="F259" i="3"/>
  <c r="E259" i="3"/>
  <c r="D259" i="3"/>
  <c r="B259" i="3"/>
  <c r="A259" i="3"/>
  <c r="L258" i="3"/>
  <c r="K258" i="3"/>
  <c r="J258" i="3"/>
  <c r="I258" i="3"/>
  <c r="H258" i="3"/>
  <c r="G258" i="3"/>
  <c r="F258" i="3"/>
  <c r="E258" i="3"/>
  <c r="D258" i="3"/>
  <c r="B258" i="3"/>
  <c r="A258" i="3"/>
  <c r="L257" i="3"/>
  <c r="K257" i="3"/>
  <c r="J257" i="3"/>
  <c r="I257" i="3"/>
  <c r="H257" i="3"/>
  <c r="G257" i="3"/>
  <c r="F257" i="3"/>
  <c r="E257" i="3"/>
  <c r="D257" i="3"/>
  <c r="B257" i="3"/>
  <c r="A257" i="3"/>
  <c r="L256" i="3"/>
  <c r="K256" i="3"/>
  <c r="J256" i="3"/>
  <c r="I256" i="3"/>
  <c r="H256" i="3"/>
  <c r="G256" i="3"/>
  <c r="F256" i="3"/>
  <c r="E256" i="3"/>
  <c r="D256" i="3"/>
  <c r="B256" i="3"/>
  <c r="A256" i="3"/>
  <c r="L255" i="3"/>
  <c r="K255" i="3"/>
  <c r="J255" i="3"/>
  <c r="I255" i="3"/>
  <c r="H255" i="3"/>
  <c r="G255" i="3"/>
  <c r="F255" i="3"/>
  <c r="E255" i="3"/>
  <c r="D255" i="3"/>
  <c r="B255" i="3"/>
  <c r="A255" i="3"/>
  <c r="L254" i="3"/>
  <c r="K254" i="3"/>
  <c r="J254" i="3"/>
  <c r="I254" i="3"/>
  <c r="H254" i="3"/>
  <c r="G254" i="3"/>
  <c r="F254" i="3"/>
  <c r="E254" i="3"/>
  <c r="D254" i="3"/>
  <c r="B254" i="3"/>
  <c r="A254" i="3"/>
  <c r="L253" i="3"/>
  <c r="K253" i="3"/>
  <c r="J253" i="3"/>
  <c r="I253" i="3"/>
  <c r="H253" i="3"/>
  <c r="G253" i="3"/>
  <c r="F253" i="3"/>
  <c r="E253" i="3"/>
  <c r="D253" i="3"/>
  <c r="B253" i="3"/>
  <c r="A253" i="3"/>
  <c r="L252" i="3"/>
  <c r="K252" i="3"/>
  <c r="J252" i="3"/>
  <c r="I252" i="3"/>
  <c r="H252" i="3"/>
  <c r="G252" i="3"/>
  <c r="F252" i="3"/>
  <c r="E252" i="3"/>
  <c r="D252" i="3"/>
  <c r="B252" i="3"/>
  <c r="A252" i="3"/>
  <c r="L251" i="3"/>
  <c r="K251" i="3"/>
  <c r="J251" i="3"/>
  <c r="I251" i="3"/>
  <c r="H251" i="3"/>
  <c r="G251" i="3"/>
  <c r="F251" i="3"/>
  <c r="E251" i="3"/>
  <c r="D251" i="3"/>
  <c r="B251" i="3"/>
  <c r="A251" i="3"/>
  <c r="L250" i="3"/>
  <c r="K250" i="3"/>
  <c r="J250" i="3"/>
  <c r="I250" i="3"/>
  <c r="H250" i="3"/>
  <c r="G250" i="3"/>
  <c r="F250" i="3"/>
  <c r="E250" i="3"/>
  <c r="D250" i="3"/>
  <c r="B250" i="3"/>
  <c r="A250" i="3"/>
  <c r="L249" i="3"/>
  <c r="K249" i="3"/>
  <c r="J249" i="3"/>
  <c r="I249" i="3"/>
  <c r="H249" i="3"/>
  <c r="G249" i="3"/>
  <c r="F249" i="3"/>
  <c r="E249" i="3"/>
  <c r="D249" i="3"/>
  <c r="B249" i="3"/>
  <c r="A249" i="3"/>
  <c r="L248" i="3"/>
  <c r="K248" i="3"/>
  <c r="J248" i="3"/>
  <c r="I248" i="3"/>
  <c r="H248" i="3"/>
  <c r="G248" i="3"/>
  <c r="F248" i="3"/>
  <c r="E248" i="3"/>
  <c r="D248" i="3"/>
  <c r="B248" i="3"/>
  <c r="A248" i="3"/>
  <c r="L247" i="3"/>
  <c r="K247" i="3"/>
  <c r="J247" i="3"/>
  <c r="I247" i="3"/>
  <c r="H247" i="3"/>
  <c r="G247" i="3"/>
  <c r="F247" i="3"/>
  <c r="E247" i="3"/>
  <c r="D247" i="3"/>
  <c r="B247" i="3"/>
  <c r="A247" i="3"/>
  <c r="L246" i="3"/>
  <c r="K246" i="3"/>
  <c r="J246" i="3"/>
  <c r="I246" i="3"/>
  <c r="H246" i="3"/>
  <c r="G246" i="3"/>
  <c r="F246" i="3"/>
  <c r="E246" i="3"/>
  <c r="D246" i="3"/>
  <c r="B246" i="3"/>
  <c r="A246" i="3"/>
  <c r="L245" i="3"/>
  <c r="K245" i="3"/>
  <c r="J245" i="3"/>
  <c r="I245" i="3"/>
  <c r="H245" i="3"/>
  <c r="G245" i="3"/>
  <c r="F245" i="3"/>
  <c r="E245" i="3"/>
  <c r="D245" i="3"/>
  <c r="B245" i="3"/>
  <c r="A245" i="3"/>
  <c r="L244" i="3"/>
  <c r="K244" i="3"/>
  <c r="J244" i="3"/>
  <c r="I244" i="3"/>
  <c r="H244" i="3"/>
  <c r="G244" i="3"/>
  <c r="F244" i="3"/>
  <c r="E244" i="3"/>
  <c r="D244" i="3"/>
  <c r="B244" i="3"/>
  <c r="A244" i="3"/>
  <c r="L243" i="3"/>
  <c r="K243" i="3"/>
  <c r="J243" i="3"/>
  <c r="I243" i="3"/>
  <c r="H243" i="3"/>
  <c r="G243" i="3"/>
  <c r="F243" i="3"/>
  <c r="E243" i="3"/>
  <c r="D243" i="3"/>
  <c r="B243" i="3"/>
  <c r="A243" i="3"/>
  <c r="L242" i="3"/>
  <c r="K242" i="3"/>
  <c r="J242" i="3"/>
  <c r="I242" i="3"/>
  <c r="H242" i="3"/>
  <c r="G242" i="3"/>
  <c r="F242" i="3"/>
  <c r="E242" i="3"/>
  <c r="D242" i="3"/>
  <c r="B242" i="3"/>
  <c r="A242" i="3"/>
  <c r="L241" i="3"/>
  <c r="K241" i="3"/>
  <c r="J241" i="3"/>
  <c r="I241" i="3"/>
  <c r="H241" i="3"/>
  <c r="G241" i="3"/>
  <c r="F241" i="3"/>
  <c r="E241" i="3"/>
  <c r="D241" i="3"/>
  <c r="B241" i="3"/>
  <c r="A241" i="3"/>
  <c r="L240" i="3"/>
  <c r="K240" i="3"/>
  <c r="J240" i="3"/>
  <c r="I240" i="3"/>
  <c r="H240" i="3"/>
  <c r="G240" i="3"/>
  <c r="F240" i="3"/>
  <c r="E240" i="3"/>
  <c r="D240" i="3"/>
  <c r="B240" i="3"/>
  <c r="A240" i="3"/>
  <c r="L239" i="3"/>
  <c r="K239" i="3"/>
  <c r="J239" i="3"/>
  <c r="I239" i="3"/>
  <c r="H239" i="3"/>
  <c r="G239" i="3"/>
  <c r="F239" i="3"/>
  <c r="E239" i="3"/>
  <c r="D239" i="3"/>
  <c r="B239" i="3"/>
  <c r="A239" i="3"/>
  <c r="L238" i="3"/>
  <c r="K238" i="3"/>
  <c r="J238" i="3"/>
  <c r="I238" i="3"/>
  <c r="H238" i="3"/>
  <c r="G238" i="3"/>
  <c r="F238" i="3"/>
  <c r="E238" i="3"/>
  <c r="D238" i="3"/>
  <c r="B238" i="3"/>
  <c r="A238" i="3"/>
  <c r="L237" i="3"/>
  <c r="K237" i="3"/>
  <c r="J237" i="3"/>
  <c r="I237" i="3"/>
  <c r="H237" i="3"/>
  <c r="G237" i="3"/>
  <c r="F237" i="3"/>
  <c r="E237" i="3"/>
  <c r="D237" i="3"/>
  <c r="B237" i="3"/>
  <c r="A237" i="3"/>
  <c r="L236" i="3"/>
  <c r="K236" i="3"/>
  <c r="J236" i="3"/>
  <c r="I236" i="3"/>
  <c r="H236" i="3"/>
  <c r="G236" i="3"/>
  <c r="F236" i="3"/>
  <c r="E236" i="3"/>
  <c r="D236" i="3"/>
  <c r="B236" i="3"/>
  <c r="A236" i="3"/>
  <c r="L235" i="3"/>
  <c r="K235" i="3"/>
  <c r="J235" i="3"/>
  <c r="I235" i="3"/>
  <c r="H235" i="3"/>
  <c r="G235" i="3"/>
  <c r="F235" i="3"/>
  <c r="E235" i="3"/>
  <c r="D235" i="3"/>
  <c r="B235" i="3"/>
  <c r="A235" i="3"/>
  <c r="L234" i="3"/>
  <c r="K234" i="3"/>
  <c r="J234" i="3"/>
  <c r="I234" i="3"/>
  <c r="H234" i="3"/>
  <c r="G234" i="3"/>
  <c r="F234" i="3"/>
  <c r="E234" i="3"/>
  <c r="D234" i="3"/>
  <c r="B234" i="3"/>
  <c r="A234" i="3"/>
  <c r="L233" i="3"/>
  <c r="K233" i="3"/>
  <c r="J233" i="3"/>
  <c r="I233" i="3"/>
  <c r="H233" i="3"/>
  <c r="G233" i="3"/>
  <c r="F233" i="3"/>
  <c r="E233" i="3"/>
  <c r="D233" i="3"/>
  <c r="B233" i="3"/>
  <c r="A233" i="3"/>
  <c r="L232" i="3"/>
  <c r="K232" i="3"/>
  <c r="J232" i="3"/>
  <c r="I232" i="3"/>
  <c r="H232" i="3"/>
  <c r="G232" i="3"/>
  <c r="F232" i="3"/>
  <c r="E232" i="3"/>
  <c r="D232" i="3"/>
  <c r="B232" i="3"/>
  <c r="A232" i="3"/>
  <c r="L231" i="3"/>
  <c r="K231" i="3"/>
  <c r="J231" i="3"/>
  <c r="I231" i="3"/>
  <c r="H231" i="3"/>
  <c r="G231" i="3"/>
  <c r="F231" i="3"/>
  <c r="E231" i="3"/>
  <c r="D231" i="3"/>
  <c r="B231" i="3"/>
  <c r="A231" i="3"/>
  <c r="M230" i="3"/>
  <c r="L230" i="3"/>
  <c r="K230" i="3"/>
  <c r="J230" i="3"/>
  <c r="I230" i="3"/>
  <c r="H230" i="3"/>
  <c r="G230" i="3"/>
  <c r="F230" i="3"/>
  <c r="E230" i="3"/>
  <c r="D230" i="3"/>
  <c r="B230" i="3"/>
  <c r="A230" i="3"/>
  <c r="L229" i="3"/>
  <c r="K229" i="3"/>
  <c r="J229" i="3"/>
  <c r="I229" i="3"/>
  <c r="H229" i="3"/>
  <c r="G229" i="3"/>
  <c r="F229" i="3"/>
  <c r="E229" i="3"/>
  <c r="D229" i="3"/>
  <c r="B229" i="3"/>
  <c r="A229" i="3"/>
  <c r="L228" i="3"/>
  <c r="K228" i="3"/>
  <c r="J228" i="3"/>
  <c r="I228" i="3"/>
  <c r="H228" i="3"/>
  <c r="G228" i="3"/>
  <c r="F228" i="3"/>
  <c r="E228" i="3"/>
  <c r="D228" i="3"/>
  <c r="B228" i="3"/>
  <c r="A228" i="3"/>
  <c r="L227" i="3"/>
  <c r="K227" i="3"/>
  <c r="J227" i="3"/>
  <c r="I227" i="3"/>
  <c r="H227" i="3"/>
  <c r="G227" i="3"/>
  <c r="F227" i="3"/>
  <c r="E227" i="3"/>
  <c r="D227" i="3"/>
  <c r="B227" i="3"/>
  <c r="A227" i="3"/>
  <c r="L226" i="3"/>
  <c r="K226" i="3"/>
  <c r="J226" i="3"/>
  <c r="I226" i="3"/>
  <c r="H226" i="3"/>
  <c r="G226" i="3"/>
  <c r="F226" i="3"/>
  <c r="E226" i="3"/>
  <c r="D226" i="3"/>
  <c r="B226" i="3"/>
  <c r="A226" i="3"/>
  <c r="L225" i="3"/>
  <c r="K225" i="3"/>
  <c r="J225" i="3"/>
  <c r="I225" i="3"/>
  <c r="H225" i="3"/>
  <c r="G225" i="3"/>
  <c r="F225" i="3"/>
  <c r="E225" i="3"/>
  <c r="D225" i="3"/>
  <c r="B225" i="3"/>
  <c r="A225" i="3"/>
  <c r="L224" i="3"/>
  <c r="K224" i="3"/>
  <c r="J224" i="3"/>
  <c r="I224" i="3"/>
  <c r="H224" i="3"/>
  <c r="G224" i="3"/>
  <c r="F224" i="3"/>
  <c r="E224" i="3"/>
  <c r="D224" i="3"/>
  <c r="B224" i="3"/>
  <c r="A224" i="3"/>
  <c r="L223" i="3"/>
  <c r="K223" i="3"/>
  <c r="J223" i="3"/>
  <c r="I223" i="3"/>
  <c r="H223" i="3"/>
  <c r="G223" i="3"/>
  <c r="F223" i="3"/>
  <c r="E223" i="3"/>
  <c r="D223" i="3"/>
  <c r="B223" i="3"/>
  <c r="A223" i="3"/>
  <c r="L222" i="3"/>
  <c r="K222" i="3"/>
  <c r="J222" i="3"/>
  <c r="I222" i="3"/>
  <c r="H222" i="3"/>
  <c r="G222" i="3"/>
  <c r="F222" i="3"/>
  <c r="E222" i="3"/>
  <c r="D222" i="3"/>
  <c r="B222" i="3"/>
  <c r="A222" i="3"/>
  <c r="L221" i="3"/>
  <c r="K221" i="3"/>
  <c r="J221" i="3"/>
  <c r="I221" i="3"/>
  <c r="H221" i="3"/>
  <c r="G221" i="3"/>
  <c r="F221" i="3"/>
  <c r="E221" i="3"/>
  <c r="D221" i="3"/>
  <c r="B221" i="3"/>
  <c r="A221" i="3"/>
  <c r="L220" i="3"/>
  <c r="K220" i="3"/>
  <c r="J220" i="3"/>
  <c r="I220" i="3"/>
  <c r="H220" i="3"/>
  <c r="G220" i="3"/>
  <c r="F220" i="3"/>
  <c r="E220" i="3"/>
  <c r="D220" i="3"/>
  <c r="B220" i="3"/>
  <c r="A220" i="3"/>
  <c r="L219" i="3"/>
  <c r="K219" i="3"/>
  <c r="J219" i="3"/>
  <c r="I219" i="3"/>
  <c r="H219" i="3"/>
  <c r="G219" i="3"/>
  <c r="F219" i="3"/>
  <c r="E219" i="3"/>
  <c r="D219" i="3"/>
  <c r="B219" i="3"/>
  <c r="A219" i="3"/>
  <c r="L218" i="3"/>
  <c r="K218" i="3"/>
  <c r="J218" i="3"/>
  <c r="I218" i="3"/>
  <c r="H218" i="3"/>
  <c r="G218" i="3"/>
  <c r="F218" i="3"/>
  <c r="E218" i="3"/>
  <c r="D218" i="3"/>
  <c r="B218" i="3"/>
  <c r="A218" i="3"/>
  <c r="L217" i="3"/>
  <c r="K217" i="3"/>
  <c r="J217" i="3"/>
  <c r="I217" i="3"/>
  <c r="H217" i="3"/>
  <c r="G217" i="3"/>
  <c r="F217" i="3"/>
  <c r="E217" i="3"/>
  <c r="D217" i="3"/>
  <c r="B217" i="3"/>
  <c r="A217" i="3"/>
  <c r="L216" i="3"/>
  <c r="K216" i="3"/>
  <c r="J216" i="3"/>
  <c r="I216" i="3"/>
  <c r="H216" i="3"/>
  <c r="G216" i="3"/>
  <c r="F216" i="3"/>
  <c r="E216" i="3"/>
  <c r="D216" i="3"/>
  <c r="B216" i="3"/>
  <c r="A216" i="3"/>
  <c r="L215" i="3"/>
  <c r="K215" i="3"/>
  <c r="J215" i="3"/>
  <c r="I215" i="3"/>
  <c r="H215" i="3"/>
  <c r="G215" i="3"/>
  <c r="F215" i="3"/>
  <c r="E215" i="3"/>
  <c r="D215" i="3"/>
  <c r="B215" i="3"/>
  <c r="A215" i="3"/>
  <c r="L214" i="3"/>
  <c r="K214" i="3"/>
  <c r="J214" i="3"/>
  <c r="I214" i="3"/>
  <c r="H214" i="3"/>
  <c r="G214" i="3"/>
  <c r="F214" i="3"/>
  <c r="E214" i="3"/>
  <c r="D214" i="3"/>
  <c r="B214" i="3"/>
  <c r="A214" i="3"/>
  <c r="L213" i="3"/>
  <c r="K213" i="3"/>
  <c r="J213" i="3"/>
  <c r="I213" i="3"/>
  <c r="H213" i="3"/>
  <c r="G213" i="3"/>
  <c r="F213" i="3"/>
  <c r="E213" i="3"/>
  <c r="D213" i="3"/>
  <c r="B213" i="3"/>
  <c r="A213" i="3"/>
  <c r="L212" i="3"/>
  <c r="K212" i="3"/>
  <c r="J212" i="3"/>
  <c r="I212" i="3"/>
  <c r="H212" i="3"/>
  <c r="G212" i="3"/>
  <c r="F212" i="3"/>
  <c r="E212" i="3"/>
  <c r="D212" i="3"/>
  <c r="B212" i="3"/>
  <c r="A212" i="3"/>
  <c r="L211" i="3"/>
  <c r="K211" i="3"/>
  <c r="J211" i="3"/>
  <c r="I211" i="3"/>
  <c r="H211" i="3"/>
  <c r="G211" i="3"/>
  <c r="F211" i="3"/>
  <c r="E211" i="3"/>
  <c r="D211" i="3"/>
  <c r="B211" i="3"/>
  <c r="A211" i="3"/>
  <c r="L210" i="3"/>
  <c r="K210" i="3"/>
  <c r="J210" i="3"/>
  <c r="I210" i="3"/>
  <c r="H210" i="3"/>
  <c r="G210" i="3"/>
  <c r="F210" i="3"/>
  <c r="E210" i="3"/>
  <c r="D210" i="3"/>
  <c r="B210" i="3"/>
  <c r="A210" i="3"/>
  <c r="L209" i="3"/>
  <c r="K209" i="3"/>
  <c r="J209" i="3"/>
  <c r="I209" i="3"/>
  <c r="H209" i="3"/>
  <c r="G209" i="3"/>
  <c r="F209" i="3"/>
  <c r="E209" i="3"/>
  <c r="D209" i="3"/>
  <c r="B209" i="3"/>
  <c r="A209" i="3"/>
  <c r="L208" i="3"/>
  <c r="K208" i="3"/>
  <c r="J208" i="3"/>
  <c r="I208" i="3"/>
  <c r="H208" i="3"/>
  <c r="G208" i="3"/>
  <c r="F208" i="3"/>
  <c r="E208" i="3"/>
  <c r="D208" i="3"/>
  <c r="B208" i="3"/>
  <c r="A208" i="3"/>
  <c r="L207" i="3"/>
  <c r="K207" i="3"/>
  <c r="J207" i="3"/>
  <c r="I207" i="3"/>
  <c r="H207" i="3"/>
  <c r="G207" i="3"/>
  <c r="F207" i="3"/>
  <c r="E207" i="3"/>
  <c r="D207" i="3"/>
  <c r="B207" i="3"/>
  <c r="A207" i="3"/>
  <c r="L206" i="3"/>
  <c r="K206" i="3"/>
  <c r="J206" i="3"/>
  <c r="I206" i="3"/>
  <c r="H206" i="3"/>
  <c r="G206" i="3"/>
  <c r="F206" i="3"/>
  <c r="E206" i="3"/>
  <c r="D206" i="3"/>
  <c r="B206" i="3"/>
  <c r="A206" i="3"/>
  <c r="L205" i="3"/>
  <c r="K205" i="3"/>
  <c r="J205" i="3"/>
  <c r="I205" i="3"/>
  <c r="H205" i="3"/>
  <c r="G205" i="3"/>
  <c r="F205" i="3"/>
  <c r="E205" i="3"/>
  <c r="D205" i="3"/>
  <c r="B205" i="3"/>
  <c r="A205" i="3"/>
  <c r="L204" i="3"/>
  <c r="K204" i="3"/>
  <c r="J204" i="3"/>
  <c r="I204" i="3"/>
  <c r="H204" i="3"/>
  <c r="G204" i="3"/>
  <c r="F204" i="3"/>
  <c r="E204" i="3"/>
  <c r="D204" i="3"/>
  <c r="B204" i="3"/>
  <c r="A204" i="3"/>
  <c r="L203" i="3"/>
  <c r="K203" i="3"/>
  <c r="J203" i="3"/>
  <c r="I203" i="3"/>
  <c r="H203" i="3"/>
  <c r="G203" i="3"/>
  <c r="F203" i="3"/>
  <c r="E203" i="3"/>
  <c r="D203" i="3"/>
  <c r="B203" i="3"/>
  <c r="A203" i="3"/>
  <c r="L202" i="3"/>
  <c r="K202" i="3"/>
  <c r="J202" i="3"/>
  <c r="I202" i="3"/>
  <c r="H202" i="3"/>
  <c r="G202" i="3"/>
  <c r="F202" i="3"/>
  <c r="E202" i="3"/>
  <c r="D202" i="3"/>
  <c r="B202" i="3"/>
  <c r="A202" i="3"/>
  <c r="L201" i="3"/>
  <c r="K201" i="3"/>
  <c r="J201" i="3"/>
  <c r="I201" i="3"/>
  <c r="H201" i="3"/>
  <c r="G201" i="3"/>
  <c r="F201" i="3"/>
  <c r="E201" i="3"/>
  <c r="D201" i="3"/>
  <c r="B201" i="3"/>
  <c r="A201" i="3"/>
  <c r="L200" i="3"/>
  <c r="K200" i="3"/>
  <c r="J200" i="3"/>
  <c r="I200" i="3"/>
  <c r="H200" i="3"/>
  <c r="G200" i="3"/>
  <c r="F200" i="3"/>
  <c r="E200" i="3"/>
  <c r="D200" i="3"/>
  <c r="B200" i="3"/>
  <c r="A200" i="3"/>
  <c r="L199" i="3"/>
  <c r="K199" i="3"/>
  <c r="J199" i="3"/>
  <c r="I199" i="3"/>
  <c r="H199" i="3"/>
  <c r="G199" i="3"/>
  <c r="F199" i="3"/>
  <c r="E199" i="3"/>
  <c r="D199" i="3"/>
  <c r="B199" i="3"/>
  <c r="A199" i="3"/>
  <c r="L198" i="3"/>
  <c r="K198" i="3"/>
  <c r="J198" i="3"/>
  <c r="I198" i="3"/>
  <c r="H198" i="3"/>
  <c r="G198" i="3"/>
  <c r="F198" i="3"/>
  <c r="E198" i="3"/>
  <c r="D198" i="3"/>
  <c r="B198" i="3"/>
  <c r="A198" i="3"/>
  <c r="L197" i="3"/>
  <c r="K197" i="3"/>
  <c r="J197" i="3"/>
  <c r="I197" i="3"/>
  <c r="H197" i="3"/>
  <c r="G197" i="3"/>
  <c r="F197" i="3"/>
  <c r="E197" i="3"/>
  <c r="D197" i="3"/>
  <c r="B197" i="3"/>
  <c r="A197" i="3"/>
  <c r="L196" i="3"/>
  <c r="K196" i="3"/>
  <c r="J196" i="3"/>
  <c r="I196" i="3"/>
  <c r="H196" i="3"/>
  <c r="G196" i="3"/>
  <c r="F196" i="3"/>
  <c r="E196" i="3"/>
  <c r="D196" i="3"/>
  <c r="B196" i="3"/>
  <c r="A196" i="3"/>
  <c r="L195" i="3"/>
  <c r="K195" i="3"/>
  <c r="J195" i="3"/>
  <c r="I195" i="3"/>
  <c r="H195" i="3"/>
  <c r="G195" i="3"/>
  <c r="F195" i="3"/>
  <c r="E195" i="3"/>
  <c r="D195" i="3"/>
  <c r="B195" i="3"/>
  <c r="A195" i="3"/>
  <c r="L194" i="3"/>
  <c r="K194" i="3"/>
  <c r="J194" i="3"/>
  <c r="I194" i="3"/>
  <c r="H194" i="3"/>
  <c r="G194" i="3"/>
  <c r="F194" i="3"/>
  <c r="E194" i="3"/>
  <c r="D194" i="3"/>
  <c r="B194" i="3"/>
  <c r="A194" i="3"/>
  <c r="L193" i="3"/>
  <c r="K193" i="3"/>
  <c r="J193" i="3"/>
  <c r="I193" i="3"/>
  <c r="H193" i="3"/>
  <c r="G193" i="3"/>
  <c r="F193" i="3"/>
  <c r="E193" i="3"/>
  <c r="D193" i="3"/>
  <c r="B193" i="3"/>
  <c r="A193" i="3"/>
  <c r="L192" i="3"/>
  <c r="K192" i="3"/>
  <c r="J192" i="3"/>
  <c r="I192" i="3"/>
  <c r="H192" i="3"/>
  <c r="G192" i="3"/>
  <c r="F192" i="3"/>
  <c r="E192" i="3"/>
  <c r="D192" i="3"/>
  <c r="B192" i="3"/>
  <c r="A192" i="3"/>
  <c r="L191" i="3"/>
  <c r="K191" i="3"/>
  <c r="J191" i="3"/>
  <c r="I191" i="3"/>
  <c r="H191" i="3"/>
  <c r="G191" i="3"/>
  <c r="F191" i="3"/>
  <c r="E191" i="3"/>
  <c r="D191" i="3"/>
  <c r="B191" i="3"/>
  <c r="A191" i="3"/>
  <c r="L190" i="3"/>
  <c r="K190" i="3"/>
  <c r="J190" i="3"/>
  <c r="I190" i="3"/>
  <c r="H190" i="3"/>
  <c r="G190" i="3"/>
  <c r="F190" i="3"/>
  <c r="E190" i="3"/>
  <c r="D190" i="3"/>
  <c r="B190" i="3"/>
  <c r="A190" i="3"/>
  <c r="L189" i="3"/>
  <c r="K189" i="3"/>
  <c r="J189" i="3"/>
  <c r="I189" i="3"/>
  <c r="H189" i="3"/>
  <c r="G189" i="3"/>
  <c r="F189" i="3"/>
  <c r="E189" i="3"/>
  <c r="D189" i="3"/>
  <c r="B189" i="3"/>
  <c r="A189" i="3"/>
  <c r="L188" i="3"/>
  <c r="K188" i="3"/>
  <c r="J188" i="3"/>
  <c r="I188" i="3"/>
  <c r="H188" i="3"/>
  <c r="G188" i="3"/>
  <c r="F188" i="3"/>
  <c r="E188" i="3"/>
  <c r="D188" i="3"/>
  <c r="B188" i="3"/>
  <c r="A188" i="3"/>
  <c r="L187" i="3"/>
  <c r="K187" i="3"/>
  <c r="J187" i="3"/>
  <c r="I187" i="3"/>
  <c r="H187" i="3"/>
  <c r="G187" i="3"/>
  <c r="F187" i="3"/>
  <c r="E187" i="3"/>
  <c r="D187" i="3"/>
  <c r="B187" i="3"/>
  <c r="A187" i="3"/>
  <c r="L186" i="3"/>
  <c r="K186" i="3"/>
  <c r="J186" i="3"/>
  <c r="I186" i="3"/>
  <c r="H186" i="3"/>
  <c r="G186" i="3"/>
  <c r="F186" i="3"/>
  <c r="E186" i="3"/>
  <c r="D186" i="3"/>
  <c r="B186" i="3"/>
  <c r="A186" i="3"/>
  <c r="L185" i="3"/>
  <c r="K185" i="3"/>
  <c r="J185" i="3"/>
  <c r="I185" i="3"/>
  <c r="H185" i="3"/>
  <c r="G185" i="3"/>
  <c r="F185" i="3"/>
  <c r="E185" i="3"/>
  <c r="D185" i="3"/>
  <c r="B185" i="3"/>
  <c r="A185" i="3"/>
  <c r="L184" i="3"/>
  <c r="K184" i="3"/>
  <c r="J184" i="3"/>
  <c r="I184" i="3"/>
  <c r="H184" i="3"/>
  <c r="G184" i="3"/>
  <c r="F184" i="3"/>
  <c r="E184" i="3"/>
  <c r="D184" i="3"/>
  <c r="B184" i="3"/>
  <c r="A184" i="3"/>
  <c r="L183" i="3"/>
  <c r="K183" i="3"/>
  <c r="J183" i="3"/>
  <c r="I183" i="3"/>
  <c r="H183" i="3"/>
  <c r="G183" i="3"/>
  <c r="F183" i="3"/>
  <c r="E183" i="3"/>
  <c r="D183" i="3"/>
  <c r="B183" i="3"/>
  <c r="A183" i="3"/>
  <c r="L182" i="3"/>
  <c r="K182" i="3"/>
  <c r="J182" i="3"/>
  <c r="I182" i="3"/>
  <c r="H182" i="3"/>
  <c r="G182" i="3"/>
  <c r="F182" i="3"/>
  <c r="E182" i="3"/>
  <c r="D182" i="3"/>
  <c r="B182" i="3"/>
  <c r="A182" i="3"/>
  <c r="L181" i="3"/>
  <c r="K181" i="3"/>
  <c r="J181" i="3"/>
  <c r="I181" i="3"/>
  <c r="H181" i="3"/>
  <c r="G181" i="3"/>
  <c r="F181" i="3"/>
  <c r="E181" i="3"/>
  <c r="D181" i="3"/>
  <c r="B181" i="3"/>
  <c r="A181" i="3"/>
  <c r="L180" i="3"/>
  <c r="K180" i="3"/>
  <c r="J180" i="3"/>
  <c r="I180" i="3"/>
  <c r="H180" i="3"/>
  <c r="G180" i="3"/>
  <c r="F180" i="3"/>
  <c r="E180" i="3"/>
  <c r="D180" i="3"/>
  <c r="B180" i="3"/>
  <c r="A180" i="3"/>
  <c r="L179" i="3"/>
  <c r="K179" i="3"/>
  <c r="J179" i="3"/>
  <c r="I179" i="3"/>
  <c r="H179" i="3"/>
  <c r="G179" i="3"/>
  <c r="F179" i="3"/>
  <c r="E179" i="3"/>
  <c r="D179" i="3"/>
  <c r="B179" i="3"/>
  <c r="A179" i="3"/>
  <c r="L178" i="3"/>
  <c r="K178" i="3"/>
  <c r="J178" i="3"/>
  <c r="I178" i="3"/>
  <c r="H178" i="3"/>
  <c r="G178" i="3"/>
  <c r="F178" i="3"/>
  <c r="E178" i="3"/>
  <c r="D178" i="3"/>
  <c r="B178" i="3"/>
  <c r="A178" i="3"/>
  <c r="L177" i="3"/>
  <c r="K177" i="3"/>
  <c r="J177" i="3"/>
  <c r="I177" i="3"/>
  <c r="H177" i="3"/>
  <c r="G177" i="3"/>
  <c r="F177" i="3"/>
  <c r="E177" i="3"/>
  <c r="D177" i="3"/>
  <c r="B177" i="3"/>
  <c r="A177" i="3"/>
  <c r="L176" i="3"/>
  <c r="K176" i="3"/>
  <c r="J176" i="3"/>
  <c r="I176" i="3"/>
  <c r="H176" i="3"/>
  <c r="G176" i="3"/>
  <c r="F176" i="3"/>
  <c r="E176" i="3"/>
  <c r="D176" i="3"/>
  <c r="B176" i="3"/>
  <c r="A176" i="3"/>
  <c r="L175" i="3"/>
  <c r="K175" i="3"/>
  <c r="J175" i="3"/>
  <c r="I175" i="3"/>
  <c r="H175" i="3"/>
  <c r="G175" i="3"/>
  <c r="F175" i="3"/>
  <c r="E175" i="3"/>
  <c r="D175" i="3"/>
  <c r="B175" i="3"/>
  <c r="A175" i="3"/>
  <c r="L174" i="3"/>
  <c r="K174" i="3"/>
  <c r="J174" i="3"/>
  <c r="I174" i="3"/>
  <c r="H174" i="3"/>
  <c r="G174" i="3"/>
  <c r="F174" i="3"/>
  <c r="E174" i="3"/>
  <c r="D174" i="3"/>
  <c r="B174" i="3"/>
  <c r="A174" i="3"/>
  <c r="L173" i="3"/>
  <c r="K173" i="3"/>
  <c r="J173" i="3"/>
  <c r="I173" i="3"/>
  <c r="H173" i="3"/>
  <c r="G173" i="3"/>
  <c r="F173" i="3"/>
  <c r="E173" i="3"/>
  <c r="D173" i="3"/>
  <c r="B173" i="3"/>
  <c r="A173" i="3"/>
  <c r="L172" i="3"/>
  <c r="K172" i="3"/>
  <c r="J172" i="3"/>
  <c r="I172" i="3"/>
  <c r="H172" i="3"/>
  <c r="G172" i="3"/>
  <c r="F172" i="3"/>
  <c r="E172" i="3"/>
  <c r="D172" i="3"/>
  <c r="B172" i="3"/>
  <c r="A172" i="3"/>
  <c r="L171" i="3"/>
  <c r="K171" i="3"/>
  <c r="J171" i="3"/>
  <c r="I171" i="3"/>
  <c r="H171" i="3"/>
  <c r="G171" i="3"/>
  <c r="F171" i="3"/>
  <c r="E171" i="3"/>
  <c r="D171" i="3"/>
  <c r="B171" i="3"/>
  <c r="A171" i="3"/>
  <c r="L170" i="3"/>
  <c r="K170" i="3"/>
  <c r="J170" i="3"/>
  <c r="I170" i="3"/>
  <c r="H170" i="3"/>
  <c r="G170" i="3"/>
  <c r="F170" i="3"/>
  <c r="E170" i="3"/>
  <c r="D170" i="3"/>
  <c r="B170" i="3"/>
  <c r="A170" i="3"/>
  <c r="L169" i="3"/>
  <c r="K169" i="3"/>
  <c r="J169" i="3"/>
  <c r="I169" i="3"/>
  <c r="H169" i="3"/>
  <c r="G169" i="3"/>
  <c r="F169" i="3"/>
  <c r="E169" i="3"/>
  <c r="D169" i="3"/>
  <c r="B169" i="3"/>
  <c r="A169" i="3"/>
  <c r="L168" i="3"/>
  <c r="K168" i="3"/>
  <c r="J168" i="3"/>
  <c r="I168" i="3"/>
  <c r="H168" i="3"/>
  <c r="G168" i="3"/>
  <c r="F168" i="3"/>
  <c r="E168" i="3"/>
  <c r="D168" i="3"/>
  <c r="B168" i="3"/>
  <c r="A168" i="3"/>
  <c r="L167" i="3"/>
  <c r="K167" i="3"/>
  <c r="J167" i="3"/>
  <c r="I167" i="3"/>
  <c r="H167" i="3"/>
  <c r="G167" i="3"/>
  <c r="F167" i="3"/>
  <c r="E167" i="3"/>
  <c r="D167" i="3"/>
  <c r="B167" i="3"/>
  <c r="A167" i="3"/>
  <c r="L166" i="3"/>
  <c r="K166" i="3"/>
  <c r="J166" i="3"/>
  <c r="I166" i="3"/>
  <c r="H166" i="3"/>
  <c r="G166" i="3"/>
  <c r="F166" i="3"/>
  <c r="E166" i="3"/>
  <c r="D166" i="3"/>
  <c r="B166" i="3"/>
  <c r="A166" i="3"/>
  <c r="L165" i="3"/>
  <c r="K165" i="3"/>
  <c r="J165" i="3"/>
  <c r="I165" i="3"/>
  <c r="H165" i="3"/>
  <c r="G165" i="3"/>
  <c r="F165" i="3"/>
  <c r="E165" i="3"/>
  <c r="D165" i="3"/>
  <c r="B165" i="3"/>
  <c r="A165" i="3"/>
  <c r="L164" i="3"/>
  <c r="K164" i="3"/>
  <c r="J164" i="3"/>
  <c r="I164" i="3"/>
  <c r="H164" i="3"/>
  <c r="G164" i="3"/>
  <c r="F164" i="3"/>
  <c r="E164" i="3"/>
  <c r="D164" i="3"/>
  <c r="B164" i="3"/>
  <c r="A164" i="3"/>
  <c r="L163" i="3"/>
  <c r="K163" i="3"/>
  <c r="J163" i="3"/>
  <c r="I163" i="3"/>
  <c r="H163" i="3"/>
  <c r="G163" i="3"/>
  <c r="F163" i="3"/>
  <c r="E163" i="3"/>
  <c r="D163" i="3"/>
  <c r="B163" i="3"/>
  <c r="A163" i="3"/>
  <c r="L162" i="3"/>
  <c r="K162" i="3"/>
  <c r="J162" i="3"/>
  <c r="I162" i="3"/>
  <c r="H162" i="3"/>
  <c r="G162" i="3"/>
  <c r="F162" i="3"/>
  <c r="E162" i="3"/>
  <c r="D162" i="3"/>
  <c r="B162" i="3"/>
  <c r="A162" i="3"/>
  <c r="L161" i="3"/>
  <c r="K161" i="3"/>
  <c r="J161" i="3"/>
  <c r="I161" i="3"/>
  <c r="H161" i="3"/>
  <c r="G161" i="3"/>
  <c r="F161" i="3"/>
  <c r="E161" i="3"/>
  <c r="D161" i="3"/>
  <c r="B161" i="3"/>
  <c r="A161" i="3"/>
  <c r="L160" i="3"/>
  <c r="K160" i="3"/>
  <c r="J160" i="3"/>
  <c r="I160" i="3"/>
  <c r="H160" i="3"/>
  <c r="G160" i="3"/>
  <c r="F160" i="3"/>
  <c r="E160" i="3"/>
  <c r="D160" i="3"/>
  <c r="B160" i="3"/>
  <c r="A160" i="3"/>
  <c r="L159" i="3"/>
  <c r="K159" i="3"/>
  <c r="J159" i="3"/>
  <c r="I159" i="3"/>
  <c r="H159" i="3"/>
  <c r="G159" i="3"/>
  <c r="F159" i="3"/>
  <c r="E159" i="3"/>
  <c r="D159" i="3"/>
  <c r="B159" i="3"/>
  <c r="A159" i="3"/>
  <c r="L158" i="3"/>
  <c r="K158" i="3"/>
  <c r="J158" i="3"/>
  <c r="I158" i="3"/>
  <c r="H158" i="3"/>
  <c r="G158" i="3"/>
  <c r="F158" i="3"/>
  <c r="E158" i="3"/>
  <c r="D158" i="3"/>
  <c r="B158" i="3"/>
  <c r="A158" i="3"/>
  <c r="L157" i="3"/>
  <c r="K157" i="3"/>
  <c r="J157" i="3"/>
  <c r="I157" i="3"/>
  <c r="H157" i="3"/>
  <c r="G157" i="3"/>
  <c r="F157" i="3"/>
  <c r="E157" i="3"/>
  <c r="D157" i="3"/>
  <c r="B157" i="3"/>
  <c r="A157" i="3"/>
  <c r="L156" i="3"/>
  <c r="K156" i="3"/>
  <c r="J156" i="3"/>
  <c r="I156" i="3"/>
  <c r="H156" i="3"/>
  <c r="G156" i="3"/>
  <c r="F156" i="3"/>
  <c r="E156" i="3"/>
  <c r="D156" i="3"/>
  <c r="B156" i="3"/>
  <c r="A156" i="3"/>
  <c r="L155" i="3"/>
  <c r="K155" i="3"/>
  <c r="J155" i="3"/>
  <c r="I155" i="3"/>
  <c r="H155" i="3"/>
  <c r="G155" i="3"/>
  <c r="F155" i="3"/>
  <c r="E155" i="3"/>
  <c r="D155" i="3"/>
  <c r="B155" i="3"/>
  <c r="A155" i="3"/>
  <c r="L154" i="3"/>
  <c r="K154" i="3"/>
  <c r="J154" i="3"/>
  <c r="I154" i="3"/>
  <c r="H154" i="3"/>
  <c r="G154" i="3"/>
  <c r="F154" i="3"/>
  <c r="E154" i="3"/>
  <c r="D154" i="3"/>
  <c r="B154" i="3"/>
  <c r="A154" i="3"/>
  <c r="L153" i="3"/>
  <c r="K153" i="3"/>
  <c r="J153" i="3"/>
  <c r="I153" i="3"/>
  <c r="H153" i="3"/>
  <c r="G153" i="3"/>
  <c r="F153" i="3"/>
  <c r="E153" i="3"/>
  <c r="D153" i="3"/>
  <c r="B153" i="3"/>
  <c r="A153" i="3"/>
  <c r="L152" i="3"/>
  <c r="K152" i="3"/>
  <c r="J152" i="3"/>
  <c r="I152" i="3"/>
  <c r="H152" i="3"/>
  <c r="G152" i="3"/>
  <c r="F152" i="3"/>
  <c r="E152" i="3"/>
  <c r="D152" i="3"/>
  <c r="B152" i="3"/>
  <c r="A152" i="3"/>
  <c r="L151" i="3"/>
  <c r="K151" i="3"/>
  <c r="J151" i="3"/>
  <c r="I151" i="3"/>
  <c r="H151" i="3"/>
  <c r="G151" i="3"/>
  <c r="F151" i="3"/>
  <c r="E151" i="3"/>
  <c r="D151" i="3"/>
  <c r="B151" i="3"/>
  <c r="A151" i="3"/>
  <c r="L150" i="3"/>
  <c r="K150" i="3"/>
  <c r="J150" i="3"/>
  <c r="I150" i="3"/>
  <c r="H150" i="3"/>
  <c r="G150" i="3"/>
  <c r="F150" i="3"/>
  <c r="E150" i="3"/>
  <c r="D150" i="3"/>
  <c r="B150" i="3"/>
  <c r="A150" i="3"/>
  <c r="L149" i="3"/>
  <c r="K149" i="3"/>
  <c r="J149" i="3"/>
  <c r="I149" i="3"/>
  <c r="H149" i="3"/>
  <c r="G149" i="3"/>
  <c r="F149" i="3"/>
  <c r="E149" i="3"/>
  <c r="D149" i="3"/>
  <c r="B149" i="3"/>
  <c r="A149" i="3"/>
  <c r="L148" i="3"/>
  <c r="K148" i="3"/>
  <c r="J148" i="3"/>
  <c r="I148" i="3"/>
  <c r="H148" i="3"/>
  <c r="G148" i="3"/>
  <c r="F148" i="3"/>
  <c r="E148" i="3"/>
  <c r="D148" i="3"/>
  <c r="B148" i="3"/>
  <c r="A148" i="3"/>
  <c r="L147" i="3"/>
  <c r="K147" i="3"/>
  <c r="J147" i="3"/>
  <c r="I147" i="3"/>
  <c r="H147" i="3"/>
  <c r="G147" i="3"/>
  <c r="F147" i="3"/>
  <c r="E147" i="3"/>
  <c r="D147" i="3"/>
  <c r="B147" i="3"/>
  <c r="A147" i="3"/>
  <c r="L146" i="3"/>
  <c r="K146" i="3"/>
  <c r="J146" i="3"/>
  <c r="I146" i="3"/>
  <c r="H146" i="3"/>
  <c r="G146" i="3"/>
  <c r="F146" i="3"/>
  <c r="E146" i="3"/>
  <c r="D146" i="3"/>
  <c r="B146" i="3"/>
  <c r="A146" i="3"/>
  <c r="L145" i="3"/>
  <c r="K145" i="3"/>
  <c r="J145" i="3"/>
  <c r="I145" i="3"/>
  <c r="H145" i="3"/>
  <c r="G145" i="3"/>
  <c r="F145" i="3"/>
  <c r="E145" i="3"/>
  <c r="D145" i="3"/>
  <c r="B145" i="3"/>
  <c r="A145" i="3"/>
  <c r="L144" i="3"/>
  <c r="K144" i="3"/>
  <c r="J144" i="3"/>
  <c r="I144" i="3"/>
  <c r="H144" i="3"/>
  <c r="G144" i="3"/>
  <c r="F144" i="3"/>
  <c r="E144" i="3"/>
  <c r="D144" i="3"/>
  <c r="B144" i="3"/>
  <c r="A144" i="3"/>
  <c r="L143" i="3"/>
  <c r="K143" i="3"/>
  <c r="J143" i="3"/>
  <c r="I143" i="3"/>
  <c r="H143" i="3"/>
  <c r="G143" i="3"/>
  <c r="F143" i="3"/>
  <c r="E143" i="3"/>
  <c r="D143" i="3"/>
  <c r="B143" i="3"/>
  <c r="A143" i="3"/>
  <c r="L142" i="3"/>
  <c r="K142" i="3"/>
  <c r="J142" i="3"/>
  <c r="I142" i="3"/>
  <c r="H142" i="3"/>
  <c r="G142" i="3"/>
  <c r="F142" i="3"/>
  <c r="E142" i="3"/>
  <c r="D142" i="3"/>
  <c r="C142" i="3"/>
  <c r="B142" i="3"/>
  <c r="A142" i="3"/>
  <c r="L141" i="3"/>
  <c r="K141" i="3"/>
  <c r="J141" i="3"/>
  <c r="I141" i="3"/>
  <c r="H141" i="3"/>
  <c r="G141" i="3"/>
  <c r="F141" i="3"/>
  <c r="E141" i="3"/>
  <c r="D141" i="3"/>
  <c r="B141" i="3"/>
  <c r="A141" i="3"/>
  <c r="L140" i="3"/>
  <c r="K140" i="3"/>
  <c r="J140" i="3"/>
  <c r="I140" i="3"/>
  <c r="H140" i="3"/>
  <c r="G140" i="3"/>
  <c r="F140" i="3"/>
  <c r="E140" i="3"/>
  <c r="D140" i="3"/>
  <c r="B140" i="3"/>
  <c r="A140" i="3"/>
  <c r="L139" i="3"/>
  <c r="K139" i="3"/>
  <c r="J139" i="3"/>
  <c r="I139" i="3"/>
  <c r="H139" i="3"/>
  <c r="G139" i="3"/>
  <c r="F139" i="3"/>
  <c r="E139" i="3"/>
  <c r="D139" i="3"/>
  <c r="B139" i="3"/>
  <c r="A139" i="3"/>
  <c r="L138" i="3"/>
  <c r="K138" i="3"/>
  <c r="J138" i="3"/>
  <c r="I138" i="3"/>
  <c r="H138" i="3"/>
  <c r="G138" i="3"/>
  <c r="F138" i="3"/>
  <c r="E138" i="3"/>
  <c r="D138" i="3"/>
  <c r="B138" i="3"/>
  <c r="A138" i="3"/>
  <c r="L137" i="3"/>
  <c r="K137" i="3"/>
  <c r="J137" i="3"/>
  <c r="I137" i="3"/>
  <c r="H137" i="3"/>
  <c r="G137" i="3"/>
  <c r="F137" i="3"/>
  <c r="E137" i="3"/>
  <c r="D137" i="3"/>
  <c r="B137" i="3"/>
  <c r="A137" i="3"/>
  <c r="L136" i="3"/>
  <c r="K136" i="3"/>
  <c r="J136" i="3"/>
  <c r="I136" i="3"/>
  <c r="H136" i="3"/>
  <c r="G136" i="3"/>
  <c r="F136" i="3"/>
  <c r="E136" i="3"/>
  <c r="D136" i="3"/>
  <c r="B136" i="3"/>
  <c r="A136" i="3"/>
  <c r="L135" i="3"/>
  <c r="K135" i="3"/>
  <c r="J135" i="3"/>
  <c r="I135" i="3"/>
  <c r="H135" i="3"/>
  <c r="G135" i="3"/>
  <c r="F135" i="3"/>
  <c r="E135" i="3"/>
  <c r="D135" i="3"/>
  <c r="B135" i="3"/>
  <c r="A135" i="3"/>
  <c r="L134" i="3"/>
  <c r="K134" i="3"/>
  <c r="J134" i="3"/>
  <c r="I134" i="3"/>
  <c r="H134" i="3"/>
  <c r="G134" i="3"/>
  <c r="F134" i="3"/>
  <c r="E134" i="3"/>
  <c r="D134" i="3"/>
  <c r="B134" i="3"/>
  <c r="A134" i="3"/>
  <c r="L133" i="3"/>
  <c r="K133" i="3"/>
  <c r="J133" i="3"/>
  <c r="I133" i="3"/>
  <c r="H133" i="3"/>
  <c r="G133" i="3"/>
  <c r="F133" i="3"/>
  <c r="E133" i="3"/>
  <c r="D133" i="3"/>
  <c r="B133" i="3"/>
  <c r="A133" i="3"/>
  <c r="L132" i="3"/>
  <c r="K132" i="3"/>
  <c r="J132" i="3"/>
  <c r="I132" i="3"/>
  <c r="H132" i="3"/>
  <c r="G132" i="3"/>
  <c r="F132" i="3"/>
  <c r="E132" i="3"/>
  <c r="D132" i="3"/>
  <c r="B132" i="3"/>
  <c r="A132" i="3"/>
  <c r="L131" i="3"/>
  <c r="K131" i="3"/>
  <c r="J131" i="3"/>
  <c r="I131" i="3"/>
  <c r="H131" i="3"/>
  <c r="G131" i="3"/>
  <c r="F131" i="3"/>
  <c r="E131" i="3"/>
  <c r="D131" i="3"/>
  <c r="B131" i="3"/>
  <c r="A131" i="3"/>
  <c r="L130" i="3"/>
  <c r="K130" i="3"/>
  <c r="J130" i="3"/>
  <c r="I130" i="3"/>
  <c r="H130" i="3"/>
  <c r="G130" i="3"/>
  <c r="F130" i="3"/>
  <c r="E130" i="3"/>
  <c r="D130" i="3"/>
  <c r="B130" i="3"/>
  <c r="A130" i="3"/>
  <c r="L129" i="3"/>
  <c r="K129" i="3"/>
  <c r="J129" i="3"/>
  <c r="I129" i="3"/>
  <c r="H129" i="3"/>
  <c r="G129" i="3"/>
  <c r="F129" i="3"/>
  <c r="E129" i="3"/>
  <c r="D129" i="3"/>
  <c r="B129" i="3"/>
  <c r="A129" i="3"/>
  <c r="L128" i="3"/>
  <c r="K128" i="3"/>
  <c r="J128" i="3"/>
  <c r="I128" i="3"/>
  <c r="H128" i="3"/>
  <c r="G128" i="3"/>
  <c r="F128" i="3"/>
  <c r="E128" i="3"/>
  <c r="D128" i="3"/>
  <c r="B128" i="3"/>
  <c r="A128" i="3"/>
  <c r="L127" i="3"/>
  <c r="K127" i="3"/>
  <c r="J127" i="3"/>
  <c r="I127" i="3"/>
  <c r="H127" i="3"/>
  <c r="G127" i="3"/>
  <c r="F127" i="3"/>
  <c r="E127" i="3"/>
  <c r="D127" i="3"/>
  <c r="B127" i="3"/>
  <c r="A127" i="3"/>
  <c r="L126" i="3"/>
  <c r="K126" i="3"/>
  <c r="J126" i="3"/>
  <c r="I126" i="3"/>
  <c r="H126" i="3"/>
  <c r="G126" i="3"/>
  <c r="F126" i="3"/>
  <c r="E126" i="3"/>
  <c r="D126" i="3"/>
  <c r="B126" i="3"/>
  <c r="A126" i="3"/>
  <c r="L125" i="3"/>
  <c r="K125" i="3"/>
  <c r="J125" i="3"/>
  <c r="I125" i="3"/>
  <c r="H125" i="3"/>
  <c r="G125" i="3"/>
  <c r="F125" i="3"/>
  <c r="E125" i="3"/>
  <c r="D125" i="3"/>
  <c r="B125" i="3"/>
  <c r="A125" i="3"/>
  <c r="L124" i="3"/>
  <c r="K124" i="3"/>
  <c r="J124" i="3"/>
  <c r="I124" i="3"/>
  <c r="H124" i="3"/>
  <c r="G124" i="3"/>
  <c r="F124" i="3"/>
  <c r="E124" i="3"/>
  <c r="D124" i="3"/>
  <c r="B124" i="3"/>
  <c r="A124" i="3"/>
  <c r="L123" i="3"/>
  <c r="K123" i="3"/>
  <c r="J123" i="3"/>
  <c r="I123" i="3"/>
  <c r="H123" i="3"/>
  <c r="G123" i="3"/>
  <c r="F123" i="3"/>
  <c r="E123" i="3"/>
  <c r="D123" i="3"/>
  <c r="B123" i="3"/>
  <c r="A123" i="3"/>
  <c r="L122" i="3"/>
  <c r="K122" i="3"/>
  <c r="J122" i="3"/>
  <c r="I122" i="3"/>
  <c r="H122" i="3"/>
  <c r="G122" i="3"/>
  <c r="F122" i="3"/>
  <c r="E122" i="3"/>
  <c r="D122" i="3"/>
  <c r="B122" i="3"/>
  <c r="A122" i="3"/>
  <c r="L121" i="3"/>
  <c r="K121" i="3"/>
  <c r="J121" i="3"/>
  <c r="I121" i="3"/>
  <c r="H121" i="3"/>
  <c r="G121" i="3"/>
  <c r="F121" i="3"/>
  <c r="E121" i="3"/>
  <c r="D121" i="3"/>
  <c r="B121" i="3"/>
  <c r="A121" i="3"/>
  <c r="L120" i="3"/>
  <c r="K120" i="3"/>
  <c r="J120" i="3"/>
  <c r="I120" i="3"/>
  <c r="H120" i="3"/>
  <c r="G120" i="3"/>
  <c r="F120" i="3"/>
  <c r="E120" i="3"/>
  <c r="D120" i="3"/>
  <c r="B120" i="3"/>
  <c r="A120" i="3"/>
  <c r="M119" i="3"/>
  <c r="L119" i="3"/>
  <c r="K119" i="3"/>
  <c r="J119" i="3"/>
  <c r="I119" i="3"/>
  <c r="H119" i="3"/>
  <c r="G119" i="3"/>
  <c r="F119" i="3"/>
  <c r="E119" i="3"/>
  <c r="D119" i="3"/>
  <c r="B119" i="3"/>
  <c r="A119" i="3"/>
  <c r="L118" i="3"/>
  <c r="K118" i="3"/>
  <c r="J118" i="3"/>
  <c r="I118" i="3"/>
  <c r="H118" i="3"/>
  <c r="G118" i="3"/>
  <c r="F118" i="3"/>
  <c r="E118" i="3"/>
  <c r="D118" i="3"/>
  <c r="B118" i="3"/>
  <c r="A118" i="3"/>
  <c r="L117" i="3"/>
  <c r="K117" i="3"/>
  <c r="J117" i="3"/>
  <c r="I117" i="3"/>
  <c r="H117" i="3"/>
  <c r="G117" i="3"/>
  <c r="F117" i="3"/>
  <c r="E117" i="3"/>
  <c r="D117" i="3"/>
  <c r="B117" i="3"/>
  <c r="A117" i="3"/>
  <c r="L116" i="3"/>
  <c r="K116" i="3"/>
  <c r="J116" i="3"/>
  <c r="I116" i="3"/>
  <c r="H116" i="3"/>
  <c r="G116" i="3"/>
  <c r="F116" i="3"/>
  <c r="E116" i="3"/>
  <c r="D116" i="3"/>
  <c r="B116" i="3"/>
  <c r="A116" i="3"/>
  <c r="L115" i="3"/>
  <c r="K115" i="3"/>
  <c r="J115" i="3"/>
  <c r="I115" i="3"/>
  <c r="H115" i="3"/>
  <c r="G115" i="3"/>
  <c r="F115" i="3"/>
  <c r="E115" i="3"/>
  <c r="D115" i="3"/>
  <c r="B115" i="3"/>
  <c r="A115" i="3"/>
  <c r="L114" i="3"/>
  <c r="K114" i="3"/>
  <c r="J114" i="3"/>
  <c r="I114" i="3"/>
  <c r="H114" i="3"/>
  <c r="G114" i="3"/>
  <c r="F114" i="3"/>
  <c r="E114" i="3"/>
  <c r="D114" i="3"/>
  <c r="B114" i="3"/>
  <c r="A114" i="3"/>
  <c r="L113" i="3"/>
  <c r="K113" i="3"/>
  <c r="J113" i="3"/>
  <c r="I113" i="3"/>
  <c r="H113" i="3"/>
  <c r="G113" i="3"/>
  <c r="F113" i="3"/>
  <c r="E113" i="3"/>
  <c r="D113" i="3"/>
  <c r="B113" i="3"/>
  <c r="A113" i="3"/>
  <c r="L112" i="3"/>
  <c r="K112" i="3"/>
  <c r="J112" i="3"/>
  <c r="I112" i="3"/>
  <c r="H112" i="3"/>
  <c r="G112" i="3"/>
  <c r="F112" i="3"/>
  <c r="E112" i="3"/>
  <c r="D112" i="3"/>
  <c r="B112" i="3"/>
  <c r="A112" i="3"/>
  <c r="L111" i="3"/>
  <c r="K111" i="3"/>
  <c r="J111" i="3"/>
  <c r="I111" i="3"/>
  <c r="H111" i="3"/>
  <c r="G111" i="3"/>
  <c r="F111" i="3"/>
  <c r="E111" i="3"/>
  <c r="D111" i="3"/>
  <c r="B111" i="3"/>
  <c r="A111" i="3"/>
  <c r="L110" i="3"/>
  <c r="K110" i="3"/>
  <c r="J110" i="3"/>
  <c r="I110" i="3"/>
  <c r="H110" i="3"/>
  <c r="G110" i="3"/>
  <c r="F110" i="3"/>
  <c r="E110" i="3"/>
  <c r="D110" i="3"/>
  <c r="B110" i="3"/>
  <c r="A110" i="3"/>
  <c r="L109" i="3"/>
  <c r="K109" i="3"/>
  <c r="J109" i="3"/>
  <c r="I109" i="3"/>
  <c r="H109" i="3"/>
  <c r="G109" i="3"/>
  <c r="F109" i="3"/>
  <c r="E109" i="3"/>
  <c r="D109" i="3"/>
  <c r="B109" i="3"/>
  <c r="A109" i="3"/>
  <c r="L108" i="3"/>
  <c r="K108" i="3"/>
  <c r="J108" i="3"/>
  <c r="I108" i="3"/>
  <c r="H108" i="3"/>
  <c r="G108" i="3"/>
  <c r="F108" i="3"/>
  <c r="E108" i="3"/>
  <c r="D108" i="3"/>
  <c r="B108" i="3"/>
  <c r="A108" i="3"/>
  <c r="L107" i="3"/>
  <c r="K107" i="3"/>
  <c r="J107" i="3"/>
  <c r="I107" i="3"/>
  <c r="H107" i="3"/>
  <c r="G107" i="3"/>
  <c r="F107" i="3"/>
  <c r="E107" i="3"/>
  <c r="D107" i="3"/>
  <c r="B107" i="3"/>
  <c r="A107" i="3"/>
  <c r="L106" i="3"/>
  <c r="K106" i="3"/>
  <c r="J106" i="3"/>
  <c r="I106" i="3"/>
  <c r="H106" i="3"/>
  <c r="G106" i="3"/>
  <c r="F106" i="3"/>
  <c r="E106" i="3"/>
  <c r="D106" i="3"/>
  <c r="B106" i="3"/>
  <c r="A106" i="3"/>
  <c r="L105" i="3"/>
  <c r="K105" i="3"/>
  <c r="J105" i="3"/>
  <c r="I105" i="3"/>
  <c r="H105" i="3"/>
  <c r="G105" i="3"/>
  <c r="F105" i="3"/>
  <c r="E105" i="3"/>
  <c r="D105" i="3"/>
  <c r="B105" i="3"/>
  <c r="A105" i="3"/>
  <c r="L104" i="3"/>
  <c r="K104" i="3"/>
  <c r="J104" i="3"/>
  <c r="I104" i="3"/>
  <c r="H104" i="3"/>
  <c r="G104" i="3"/>
  <c r="F104" i="3"/>
  <c r="E104" i="3"/>
  <c r="D104" i="3"/>
  <c r="B104" i="3"/>
  <c r="A104" i="3"/>
  <c r="L103" i="3"/>
  <c r="K103" i="3"/>
  <c r="J103" i="3"/>
  <c r="I103" i="3"/>
  <c r="H103" i="3"/>
  <c r="G103" i="3"/>
  <c r="F103" i="3"/>
  <c r="E103" i="3"/>
  <c r="D103" i="3"/>
  <c r="B103" i="3"/>
  <c r="A103" i="3"/>
  <c r="L102" i="3"/>
  <c r="K102" i="3"/>
  <c r="J102" i="3"/>
  <c r="I102" i="3"/>
  <c r="H102" i="3"/>
  <c r="G102" i="3"/>
  <c r="F102" i="3"/>
  <c r="E102" i="3"/>
  <c r="D102" i="3"/>
  <c r="B102" i="3"/>
  <c r="A102" i="3"/>
  <c r="L101" i="3"/>
  <c r="K101" i="3"/>
  <c r="J101" i="3"/>
  <c r="I101" i="3"/>
  <c r="H101" i="3"/>
  <c r="G101" i="3"/>
  <c r="F101" i="3"/>
  <c r="E101" i="3"/>
  <c r="D101" i="3"/>
  <c r="B101" i="3"/>
  <c r="A101" i="3"/>
  <c r="L100" i="3"/>
  <c r="K100" i="3"/>
  <c r="J100" i="3"/>
  <c r="I100" i="3"/>
  <c r="H100" i="3"/>
  <c r="G100" i="3"/>
  <c r="F100" i="3"/>
  <c r="E100" i="3"/>
  <c r="D100" i="3"/>
  <c r="A100" i="3"/>
  <c r="L99" i="3"/>
  <c r="K99" i="3"/>
  <c r="J99" i="3"/>
  <c r="I99" i="3"/>
  <c r="H99" i="3"/>
  <c r="G99" i="3"/>
  <c r="F99" i="3"/>
  <c r="E99" i="3"/>
  <c r="D99" i="3"/>
  <c r="A99" i="3"/>
  <c r="L98" i="3"/>
  <c r="K98" i="3"/>
  <c r="J98" i="3"/>
  <c r="I98" i="3"/>
  <c r="H98" i="3"/>
  <c r="G98" i="3"/>
  <c r="F98" i="3"/>
  <c r="E98" i="3"/>
  <c r="D98" i="3"/>
  <c r="B98" i="3"/>
  <c r="A98" i="3"/>
  <c r="L97" i="3"/>
  <c r="K97" i="3"/>
  <c r="J97" i="3"/>
  <c r="I97" i="3"/>
  <c r="H97" i="3"/>
  <c r="G97" i="3"/>
  <c r="F97" i="3"/>
  <c r="E97" i="3"/>
  <c r="D97" i="3"/>
  <c r="B97" i="3"/>
  <c r="A97" i="3"/>
  <c r="L96" i="3"/>
  <c r="K96" i="3"/>
  <c r="J96" i="3"/>
  <c r="I96" i="3"/>
  <c r="H96" i="3"/>
  <c r="G96" i="3"/>
  <c r="F96" i="3"/>
  <c r="E96" i="3"/>
  <c r="D96" i="3"/>
  <c r="B96" i="3"/>
  <c r="A96" i="3"/>
  <c r="L95" i="3"/>
  <c r="K95" i="3"/>
  <c r="J95" i="3"/>
  <c r="I95" i="3"/>
  <c r="H95" i="3"/>
  <c r="G95" i="3"/>
  <c r="F95" i="3"/>
  <c r="E95" i="3"/>
  <c r="D95" i="3"/>
  <c r="B95" i="3"/>
  <c r="A95" i="3"/>
  <c r="L94" i="3"/>
  <c r="K94" i="3"/>
  <c r="J94" i="3"/>
  <c r="I94" i="3"/>
  <c r="H94" i="3"/>
  <c r="G94" i="3"/>
  <c r="F94" i="3"/>
  <c r="E94" i="3"/>
  <c r="D94" i="3"/>
  <c r="B94" i="3"/>
  <c r="A94" i="3"/>
  <c r="L93" i="3"/>
  <c r="K93" i="3"/>
  <c r="J93" i="3"/>
  <c r="I93" i="3"/>
  <c r="H93" i="3"/>
  <c r="G93" i="3"/>
  <c r="F93" i="3"/>
  <c r="E93" i="3"/>
  <c r="D93" i="3"/>
  <c r="B93" i="3"/>
  <c r="A93" i="3"/>
  <c r="L92" i="3"/>
  <c r="K92" i="3"/>
  <c r="J92" i="3"/>
  <c r="I92" i="3"/>
  <c r="H92" i="3"/>
  <c r="G92" i="3"/>
  <c r="F92" i="3"/>
  <c r="E92" i="3"/>
  <c r="D92" i="3"/>
  <c r="B92" i="3"/>
  <c r="A92" i="3"/>
  <c r="L91" i="3"/>
  <c r="K91" i="3"/>
  <c r="J91" i="3"/>
  <c r="I91" i="3"/>
  <c r="H91" i="3"/>
  <c r="G91" i="3"/>
  <c r="F91" i="3"/>
  <c r="E91" i="3"/>
  <c r="D91" i="3"/>
  <c r="B91" i="3"/>
  <c r="A91" i="3"/>
  <c r="L90" i="3"/>
  <c r="K90" i="3"/>
  <c r="J90" i="3"/>
  <c r="I90" i="3"/>
  <c r="H90" i="3"/>
  <c r="G90" i="3"/>
  <c r="F90" i="3"/>
  <c r="E90" i="3"/>
  <c r="D90" i="3"/>
  <c r="B90" i="3"/>
  <c r="A90" i="3"/>
  <c r="L89" i="3"/>
  <c r="K89" i="3"/>
  <c r="J89" i="3"/>
  <c r="I89" i="3"/>
  <c r="H89" i="3"/>
  <c r="G89" i="3"/>
  <c r="F89" i="3"/>
  <c r="E89" i="3"/>
  <c r="D89" i="3"/>
  <c r="B89" i="3"/>
  <c r="A89" i="3"/>
  <c r="L88" i="3"/>
  <c r="K88" i="3"/>
  <c r="J88" i="3"/>
  <c r="I88" i="3"/>
  <c r="H88" i="3"/>
  <c r="G88" i="3"/>
  <c r="F88" i="3"/>
  <c r="E88" i="3"/>
  <c r="D88" i="3"/>
  <c r="B88" i="3"/>
  <c r="A88" i="3"/>
  <c r="L87" i="3"/>
  <c r="K87" i="3"/>
  <c r="J87" i="3"/>
  <c r="I87" i="3"/>
  <c r="H87" i="3"/>
  <c r="G87" i="3"/>
  <c r="F87" i="3"/>
  <c r="E87" i="3"/>
  <c r="D87" i="3"/>
  <c r="B87" i="3"/>
  <c r="A87" i="3"/>
  <c r="L86" i="3"/>
  <c r="K86" i="3"/>
  <c r="J86" i="3"/>
  <c r="I86" i="3"/>
  <c r="H86" i="3"/>
  <c r="G86" i="3"/>
  <c r="F86" i="3"/>
  <c r="E86" i="3"/>
  <c r="D86" i="3"/>
  <c r="B86" i="3"/>
  <c r="A86" i="3"/>
  <c r="L85" i="3"/>
  <c r="K85" i="3"/>
  <c r="J85" i="3"/>
  <c r="I85" i="3"/>
  <c r="H85" i="3"/>
  <c r="G85" i="3"/>
  <c r="F85" i="3"/>
  <c r="E85" i="3"/>
  <c r="D85" i="3"/>
  <c r="B85" i="3"/>
  <c r="A85" i="3"/>
  <c r="L84" i="3"/>
  <c r="K84" i="3"/>
  <c r="J84" i="3"/>
  <c r="I84" i="3"/>
  <c r="H84" i="3"/>
  <c r="G84" i="3"/>
  <c r="F84" i="3"/>
  <c r="E84" i="3"/>
  <c r="D84" i="3"/>
  <c r="B84" i="3"/>
  <c r="A84" i="3"/>
  <c r="L83" i="3"/>
  <c r="K83" i="3"/>
  <c r="J83" i="3"/>
  <c r="I83" i="3"/>
  <c r="H83" i="3"/>
  <c r="G83" i="3"/>
  <c r="F83" i="3"/>
  <c r="E83" i="3"/>
  <c r="D83" i="3"/>
  <c r="B83" i="3"/>
  <c r="A83" i="3"/>
  <c r="L82" i="3"/>
  <c r="K82" i="3"/>
  <c r="J82" i="3"/>
  <c r="I82" i="3"/>
  <c r="H82" i="3"/>
  <c r="G82" i="3"/>
  <c r="F82" i="3"/>
  <c r="E82" i="3"/>
  <c r="D82" i="3"/>
  <c r="B82" i="3"/>
  <c r="A82" i="3"/>
  <c r="L81" i="3"/>
  <c r="K81" i="3"/>
  <c r="J81" i="3"/>
  <c r="I81" i="3"/>
  <c r="H81" i="3"/>
  <c r="G81" i="3"/>
  <c r="F81" i="3"/>
  <c r="E81" i="3"/>
  <c r="D81" i="3"/>
  <c r="B81" i="3"/>
  <c r="A81" i="3"/>
  <c r="L80" i="3"/>
  <c r="K80" i="3"/>
  <c r="J80" i="3"/>
  <c r="I80" i="3"/>
  <c r="H80" i="3"/>
  <c r="G80" i="3"/>
  <c r="F80" i="3"/>
  <c r="E80" i="3"/>
  <c r="D80" i="3"/>
  <c r="B80" i="3"/>
  <c r="A80" i="3"/>
  <c r="L79" i="3"/>
  <c r="K79" i="3"/>
  <c r="J79" i="3"/>
  <c r="I79" i="3"/>
  <c r="H79" i="3"/>
  <c r="G79" i="3"/>
  <c r="F79" i="3"/>
  <c r="E79" i="3"/>
  <c r="D79" i="3"/>
  <c r="B79" i="3"/>
  <c r="A79" i="3"/>
  <c r="L78" i="3"/>
  <c r="K78" i="3"/>
  <c r="J78" i="3"/>
  <c r="I78" i="3"/>
  <c r="H78" i="3"/>
  <c r="G78" i="3"/>
  <c r="F78" i="3"/>
  <c r="E78" i="3"/>
  <c r="D78" i="3"/>
  <c r="B78" i="3"/>
  <c r="A78" i="3"/>
  <c r="L77" i="3"/>
  <c r="K77" i="3"/>
  <c r="J77" i="3"/>
  <c r="I77" i="3"/>
  <c r="H77" i="3"/>
  <c r="G77" i="3"/>
  <c r="F77" i="3"/>
  <c r="E77" i="3"/>
  <c r="D77" i="3"/>
  <c r="B77" i="3"/>
  <c r="A77" i="3"/>
  <c r="L76" i="3"/>
  <c r="K76" i="3"/>
  <c r="J76" i="3"/>
  <c r="I76" i="3"/>
  <c r="H76" i="3"/>
  <c r="G76" i="3"/>
  <c r="F76" i="3"/>
  <c r="E76" i="3"/>
  <c r="D76" i="3"/>
  <c r="B76" i="3"/>
  <c r="A76" i="3"/>
  <c r="L75" i="3"/>
  <c r="K75" i="3"/>
  <c r="J75" i="3"/>
  <c r="I75" i="3"/>
  <c r="H75" i="3"/>
  <c r="G75" i="3"/>
  <c r="F75" i="3"/>
  <c r="E75" i="3"/>
  <c r="D75" i="3"/>
  <c r="B75" i="3"/>
  <c r="A75" i="3"/>
  <c r="L74" i="3"/>
  <c r="K74" i="3"/>
  <c r="J74" i="3"/>
  <c r="I74" i="3"/>
  <c r="H74" i="3"/>
  <c r="G74" i="3"/>
  <c r="F74" i="3"/>
  <c r="E74" i="3"/>
  <c r="D74" i="3"/>
  <c r="B74" i="3"/>
  <c r="A74" i="3"/>
  <c r="L73" i="3"/>
  <c r="K73" i="3"/>
  <c r="J73" i="3"/>
  <c r="I73" i="3"/>
  <c r="H73" i="3"/>
  <c r="G73" i="3"/>
  <c r="F73" i="3"/>
  <c r="E73" i="3"/>
  <c r="D73" i="3"/>
  <c r="B73" i="3"/>
  <c r="A73" i="3"/>
  <c r="L72" i="3"/>
  <c r="K72" i="3"/>
  <c r="J72" i="3"/>
  <c r="I72" i="3"/>
  <c r="H72" i="3"/>
  <c r="G72" i="3"/>
  <c r="F72" i="3"/>
  <c r="E72" i="3"/>
  <c r="D72" i="3"/>
  <c r="B72" i="3"/>
  <c r="A72" i="3"/>
  <c r="L71" i="3"/>
  <c r="K71" i="3"/>
  <c r="J71" i="3"/>
  <c r="I71" i="3"/>
  <c r="H71" i="3"/>
  <c r="G71" i="3"/>
  <c r="F71" i="3"/>
  <c r="E71" i="3"/>
  <c r="D71" i="3"/>
  <c r="B71" i="3"/>
  <c r="A71" i="3"/>
  <c r="L70" i="3"/>
  <c r="K70" i="3"/>
  <c r="J70" i="3"/>
  <c r="I70" i="3"/>
  <c r="H70" i="3"/>
  <c r="G70" i="3"/>
  <c r="F70" i="3"/>
  <c r="E70" i="3"/>
  <c r="D70" i="3"/>
  <c r="B70" i="3"/>
  <c r="A70" i="3"/>
  <c r="L69" i="3"/>
  <c r="K69" i="3"/>
  <c r="J69" i="3"/>
  <c r="I69" i="3"/>
  <c r="H69" i="3"/>
  <c r="G69" i="3"/>
  <c r="F69" i="3"/>
  <c r="E69" i="3"/>
  <c r="D69" i="3"/>
  <c r="B69" i="3"/>
  <c r="A69" i="3"/>
  <c r="L68" i="3"/>
  <c r="K68" i="3"/>
  <c r="J68" i="3"/>
  <c r="I68" i="3"/>
  <c r="H68" i="3"/>
  <c r="G68" i="3"/>
  <c r="F68" i="3"/>
  <c r="E68" i="3"/>
  <c r="D68" i="3"/>
  <c r="B68" i="3"/>
  <c r="A68" i="3"/>
  <c r="L67" i="3"/>
  <c r="K67" i="3"/>
  <c r="J67" i="3"/>
  <c r="I67" i="3"/>
  <c r="H67" i="3"/>
  <c r="G67" i="3"/>
  <c r="F67" i="3"/>
  <c r="E67" i="3"/>
  <c r="D67" i="3"/>
  <c r="B67" i="3"/>
  <c r="A67" i="3"/>
  <c r="L66" i="3"/>
  <c r="K66" i="3"/>
  <c r="J66" i="3"/>
  <c r="I66" i="3"/>
  <c r="H66" i="3"/>
  <c r="G66" i="3"/>
  <c r="F66" i="3"/>
  <c r="E66" i="3"/>
  <c r="D66" i="3"/>
  <c r="B66" i="3"/>
  <c r="A66" i="3"/>
  <c r="L65" i="3"/>
  <c r="K65" i="3"/>
  <c r="J65" i="3"/>
  <c r="I65" i="3"/>
  <c r="H65" i="3"/>
  <c r="G65" i="3"/>
  <c r="F65" i="3"/>
  <c r="E65" i="3"/>
  <c r="D65" i="3"/>
  <c r="B65" i="3"/>
  <c r="A65" i="3"/>
  <c r="L64" i="3"/>
  <c r="K64" i="3"/>
  <c r="J64" i="3"/>
  <c r="I64" i="3"/>
  <c r="H64" i="3"/>
  <c r="G64" i="3"/>
  <c r="F64" i="3"/>
  <c r="E64" i="3"/>
  <c r="D64" i="3"/>
  <c r="B64" i="3"/>
  <c r="A64" i="3"/>
  <c r="L63" i="3"/>
  <c r="K63" i="3"/>
  <c r="J63" i="3"/>
  <c r="I63" i="3"/>
  <c r="H63" i="3"/>
  <c r="G63" i="3"/>
  <c r="F63" i="3"/>
  <c r="E63" i="3"/>
  <c r="D63" i="3"/>
  <c r="B63" i="3"/>
  <c r="A63" i="3"/>
  <c r="L62" i="3"/>
  <c r="K62" i="3"/>
  <c r="J62" i="3"/>
  <c r="I62" i="3"/>
  <c r="H62" i="3"/>
  <c r="G62" i="3"/>
  <c r="F62" i="3"/>
  <c r="E62" i="3"/>
  <c r="D62" i="3"/>
  <c r="B62" i="3"/>
  <c r="A62" i="3"/>
  <c r="L61" i="3"/>
  <c r="K61" i="3"/>
  <c r="J61" i="3"/>
  <c r="I61" i="3"/>
  <c r="H61" i="3"/>
  <c r="G61" i="3"/>
  <c r="F61" i="3"/>
  <c r="E61" i="3"/>
  <c r="D61" i="3"/>
  <c r="B61" i="3"/>
  <c r="A61" i="3"/>
  <c r="L60" i="3"/>
  <c r="K60" i="3"/>
  <c r="J60" i="3"/>
  <c r="I60" i="3"/>
  <c r="H60" i="3"/>
  <c r="G60" i="3"/>
  <c r="F60" i="3"/>
  <c r="E60" i="3"/>
  <c r="D60" i="3"/>
  <c r="B60" i="3"/>
  <c r="A60" i="3"/>
  <c r="L59" i="3"/>
  <c r="K59" i="3"/>
  <c r="J59" i="3"/>
  <c r="I59" i="3"/>
  <c r="H59" i="3"/>
  <c r="G59" i="3"/>
  <c r="F59" i="3"/>
  <c r="E59" i="3"/>
  <c r="D59" i="3"/>
  <c r="B59" i="3"/>
  <c r="A59" i="3"/>
  <c r="L58" i="3"/>
  <c r="K58" i="3"/>
  <c r="J58" i="3"/>
  <c r="I58" i="3"/>
  <c r="H58" i="3"/>
  <c r="G58" i="3"/>
  <c r="F58" i="3"/>
  <c r="E58" i="3"/>
  <c r="D58" i="3"/>
  <c r="B58" i="3"/>
  <c r="A58" i="3"/>
  <c r="L57" i="3"/>
  <c r="K57" i="3"/>
  <c r="J57" i="3"/>
  <c r="I57" i="3"/>
  <c r="H57" i="3"/>
  <c r="G57" i="3"/>
  <c r="F57" i="3"/>
  <c r="E57" i="3"/>
  <c r="D57" i="3"/>
  <c r="B57" i="3"/>
  <c r="A57" i="3"/>
  <c r="L56" i="3"/>
  <c r="K56" i="3"/>
  <c r="J56" i="3"/>
  <c r="I56" i="3"/>
  <c r="H56" i="3"/>
  <c r="G56" i="3"/>
  <c r="F56" i="3"/>
  <c r="E56" i="3"/>
  <c r="D56" i="3"/>
  <c r="B56" i="3"/>
  <c r="A56" i="3"/>
  <c r="L55" i="3"/>
  <c r="K55" i="3"/>
  <c r="J55" i="3"/>
  <c r="I55" i="3"/>
  <c r="H55" i="3"/>
  <c r="G55" i="3"/>
  <c r="F55" i="3"/>
  <c r="E55" i="3"/>
  <c r="D55" i="3"/>
  <c r="B55" i="3"/>
  <c r="A55" i="3"/>
  <c r="L54" i="3"/>
  <c r="K54" i="3"/>
  <c r="J54" i="3"/>
  <c r="I54" i="3"/>
  <c r="H54" i="3"/>
  <c r="G54" i="3"/>
  <c r="F54" i="3"/>
  <c r="E54" i="3"/>
  <c r="D54" i="3"/>
  <c r="B54" i="3"/>
  <c r="A54" i="3"/>
  <c r="L53" i="3"/>
  <c r="K53" i="3"/>
  <c r="J53" i="3"/>
  <c r="I53" i="3"/>
  <c r="H53" i="3"/>
  <c r="G53" i="3"/>
  <c r="F53" i="3"/>
  <c r="E53" i="3"/>
  <c r="D53" i="3"/>
  <c r="B53" i="3"/>
  <c r="A53" i="3"/>
  <c r="L52" i="3"/>
  <c r="K52" i="3"/>
  <c r="J52" i="3"/>
  <c r="I52" i="3"/>
  <c r="H52" i="3"/>
  <c r="G52" i="3"/>
  <c r="F52" i="3"/>
  <c r="E52" i="3"/>
  <c r="D52" i="3"/>
  <c r="B52" i="3"/>
  <c r="A52" i="3"/>
  <c r="L51" i="3"/>
  <c r="K51" i="3"/>
  <c r="J51" i="3"/>
  <c r="I51" i="3"/>
  <c r="H51" i="3"/>
  <c r="G51" i="3"/>
  <c r="F51" i="3"/>
  <c r="E51" i="3"/>
  <c r="D51" i="3"/>
  <c r="B51" i="3"/>
  <c r="A51" i="3"/>
  <c r="L50" i="3"/>
  <c r="K50" i="3"/>
  <c r="J50" i="3"/>
  <c r="I50" i="3"/>
  <c r="H50" i="3"/>
  <c r="G50" i="3"/>
  <c r="F50" i="3"/>
  <c r="E50" i="3"/>
  <c r="D50" i="3"/>
  <c r="B50" i="3"/>
  <c r="A50" i="3"/>
  <c r="L49" i="3"/>
  <c r="K49" i="3"/>
  <c r="J49" i="3"/>
  <c r="I49" i="3"/>
  <c r="H49" i="3"/>
  <c r="G49" i="3"/>
  <c r="F49" i="3"/>
  <c r="E49" i="3"/>
  <c r="D49" i="3"/>
  <c r="B49" i="3"/>
  <c r="A49" i="3"/>
  <c r="L48" i="3"/>
  <c r="K48" i="3"/>
  <c r="J48" i="3"/>
  <c r="I48" i="3"/>
  <c r="H48" i="3"/>
  <c r="G48" i="3"/>
  <c r="F48" i="3"/>
  <c r="E48" i="3"/>
  <c r="D48" i="3"/>
  <c r="B48" i="3"/>
  <c r="A48" i="3"/>
  <c r="L47" i="3"/>
  <c r="K47" i="3"/>
  <c r="J47" i="3"/>
  <c r="I47" i="3"/>
  <c r="H47" i="3"/>
  <c r="G47" i="3"/>
  <c r="F47" i="3"/>
  <c r="E47" i="3"/>
  <c r="D47" i="3"/>
  <c r="B47" i="3"/>
  <c r="A47" i="3"/>
  <c r="L46" i="3"/>
  <c r="K46" i="3"/>
  <c r="J46" i="3"/>
  <c r="I46" i="3"/>
  <c r="H46" i="3"/>
  <c r="G46" i="3"/>
  <c r="F46" i="3"/>
  <c r="E46" i="3"/>
  <c r="D46" i="3"/>
  <c r="B46" i="3"/>
  <c r="A46" i="3"/>
  <c r="L45" i="3"/>
  <c r="K45" i="3"/>
  <c r="J45" i="3"/>
  <c r="I45" i="3"/>
  <c r="H45" i="3"/>
  <c r="G45" i="3"/>
  <c r="F45" i="3"/>
  <c r="E45" i="3"/>
  <c r="D45" i="3"/>
  <c r="B45" i="3"/>
  <c r="A45" i="3"/>
  <c r="L44" i="3"/>
  <c r="K44" i="3"/>
  <c r="J44" i="3"/>
  <c r="I44" i="3"/>
  <c r="H44" i="3"/>
  <c r="G44" i="3"/>
  <c r="F44" i="3"/>
  <c r="E44" i="3"/>
  <c r="D44" i="3"/>
  <c r="B44" i="3"/>
  <c r="A44" i="3"/>
  <c r="L43" i="3"/>
  <c r="K43" i="3"/>
  <c r="J43" i="3"/>
  <c r="I43" i="3"/>
  <c r="H43" i="3"/>
  <c r="G43" i="3"/>
  <c r="F43" i="3"/>
  <c r="E43" i="3"/>
  <c r="D43" i="3"/>
  <c r="B43" i="3"/>
  <c r="A43" i="3"/>
  <c r="L42" i="3"/>
  <c r="K42" i="3"/>
  <c r="J42" i="3"/>
  <c r="I42" i="3"/>
  <c r="H42" i="3"/>
  <c r="G42" i="3"/>
  <c r="F42" i="3"/>
  <c r="E42" i="3"/>
  <c r="D42" i="3"/>
  <c r="B42" i="3"/>
  <c r="A42" i="3"/>
  <c r="L41" i="3"/>
  <c r="K41" i="3"/>
  <c r="J41" i="3"/>
  <c r="I41" i="3"/>
  <c r="H41" i="3"/>
  <c r="G41" i="3"/>
  <c r="F41" i="3"/>
  <c r="E41" i="3"/>
  <c r="D41" i="3"/>
  <c r="B41" i="3"/>
  <c r="A41" i="3"/>
  <c r="L40" i="3"/>
  <c r="K40" i="3"/>
  <c r="J40" i="3"/>
  <c r="I40" i="3"/>
  <c r="H40" i="3"/>
  <c r="G40" i="3"/>
  <c r="F40" i="3"/>
  <c r="E40" i="3"/>
  <c r="D40" i="3"/>
  <c r="B40" i="3"/>
  <c r="A40" i="3"/>
  <c r="L39" i="3"/>
  <c r="K39" i="3"/>
  <c r="J39" i="3"/>
  <c r="I39" i="3"/>
  <c r="H39" i="3"/>
  <c r="G39" i="3"/>
  <c r="F39" i="3"/>
  <c r="E39" i="3"/>
  <c r="D39" i="3"/>
  <c r="B39" i="3"/>
  <c r="A39" i="3"/>
  <c r="L38" i="3"/>
  <c r="K38" i="3"/>
  <c r="J38" i="3"/>
  <c r="I38" i="3"/>
  <c r="H38" i="3"/>
  <c r="G38" i="3"/>
  <c r="F38" i="3"/>
  <c r="E38" i="3"/>
  <c r="D38" i="3"/>
  <c r="B38" i="3"/>
  <c r="A38" i="3"/>
  <c r="L37" i="3"/>
  <c r="K37" i="3"/>
  <c r="J37" i="3"/>
  <c r="I37" i="3"/>
  <c r="H37" i="3"/>
  <c r="G37" i="3"/>
  <c r="F37" i="3"/>
  <c r="E37" i="3"/>
  <c r="D37" i="3"/>
  <c r="B37" i="3"/>
  <c r="A37" i="3"/>
  <c r="L36" i="3"/>
  <c r="K36" i="3"/>
  <c r="J36" i="3"/>
  <c r="I36" i="3"/>
  <c r="H36" i="3"/>
  <c r="G36" i="3"/>
  <c r="F36" i="3"/>
  <c r="E36" i="3"/>
  <c r="D36" i="3"/>
  <c r="B36" i="3"/>
  <c r="A36" i="3"/>
  <c r="L35" i="3"/>
  <c r="K35" i="3"/>
  <c r="J35" i="3"/>
  <c r="I35" i="3"/>
  <c r="H35" i="3"/>
  <c r="G35" i="3"/>
  <c r="F35" i="3"/>
  <c r="E35" i="3"/>
  <c r="D35" i="3"/>
  <c r="B35" i="3"/>
  <c r="A35" i="3"/>
  <c r="L34" i="3"/>
  <c r="K34" i="3"/>
  <c r="J34" i="3"/>
  <c r="I34" i="3"/>
  <c r="H34" i="3"/>
  <c r="G34" i="3"/>
  <c r="F34" i="3"/>
  <c r="E34" i="3"/>
  <c r="D34" i="3"/>
  <c r="B34" i="3"/>
  <c r="A34" i="3"/>
  <c r="L33" i="3"/>
  <c r="K33" i="3"/>
  <c r="J33" i="3"/>
  <c r="I33" i="3"/>
  <c r="H33" i="3"/>
  <c r="G33" i="3"/>
  <c r="F33" i="3"/>
  <c r="E33" i="3"/>
  <c r="D33" i="3"/>
  <c r="B33" i="3"/>
  <c r="A33" i="3"/>
  <c r="L32" i="3"/>
  <c r="K32" i="3"/>
  <c r="J32" i="3"/>
  <c r="I32" i="3"/>
  <c r="H32" i="3"/>
  <c r="G32" i="3"/>
  <c r="F32" i="3"/>
  <c r="E32" i="3"/>
  <c r="D32" i="3"/>
  <c r="B32" i="3"/>
  <c r="A32" i="3"/>
  <c r="L31" i="3"/>
  <c r="K31" i="3"/>
  <c r="J31" i="3"/>
  <c r="I31" i="3"/>
  <c r="H31" i="3"/>
  <c r="G31" i="3"/>
  <c r="F31" i="3"/>
  <c r="E31" i="3"/>
  <c r="D31" i="3"/>
  <c r="B31" i="3"/>
  <c r="A31" i="3"/>
  <c r="L30" i="3"/>
  <c r="K30" i="3"/>
  <c r="J30" i="3"/>
  <c r="I30" i="3"/>
  <c r="H30" i="3"/>
  <c r="G30" i="3"/>
  <c r="F30" i="3"/>
  <c r="E30" i="3"/>
  <c r="D30" i="3"/>
  <c r="B30" i="3"/>
  <c r="A30" i="3"/>
  <c r="L29" i="3"/>
  <c r="K29" i="3"/>
  <c r="J29" i="3"/>
  <c r="I29" i="3"/>
  <c r="H29" i="3"/>
  <c r="G29" i="3"/>
  <c r="F29" i="3"/>
  <c r="E29" i="3"/>
  <c r="D29" i="3"/>
  <c r="B29" i="3"/>
  <c r="A29" i="3"/>
  <c r="L28" i="3"/>
  <c r="K28" i="3"/>
  <c r="J28" i="3"/>
  <c r="I28" i="3"/>
  <c r="H28" i="3"/>
  <c r="G28" i="3"/>
  <c r="F28" i="3"/>
  <c r="E28" i="3"/>
  <c r="D28" i="3"/>
  <c r="B28" i="3"/>
  <c r="A28" i="3"/>
  <c r="L27" i="3"/>
  <c r="K27" i="3"/>
  <c r="J27" i="3"/>
  <c r="I27" i="3"/>
  <c r="H27" i="3"/>
  <c r="G27" i="3"/>
  <c r="F27" i="3"/>
  <c r="E27" i="3"/>
  <c r="D27" i="3"/>
  <c r="B27" i="3"/>
  <c r="A27" i="3"/>
  <c r="L26" i="3"/>
  <c r="K26" i="3"/>
  <c r="J26" i="3"/>
  <c r="I26" i="3"/>
  <c r="H26" i="3"/>
  <c r="G26" i="3"/>
  <c r="F26" i="3"/>
  <c r="E26" i="3"/>
  <c r="D26" i="3"/>
  <c r="B26" i="3"/>
  <c r="A26" i="3"/>
  <c r="L25" i="3"/>
  <c r="K25" i="3"/>
  <c r="J25" i="3"/>
  <c r="I25" i="3"/>
  <c r="H25" i="3"/>
  <c r="G25" i="3"/>
  <c r="F25" i="3"/>
  <c r="E25" i="3"/>
  <c r="D25" i="3"/>
  <c r="B25" i="3"/>
  <c r="A25" i="3"/>
  <c r="L24" i="3"/>
  <c r="K24" i="3"/>
  <c r="J24" i="3"/>
  <c r="I24" i="3"/>
  <c r="H24" i="3"/>
  <c r="G24" i="3"/>
  <c r="F24" i="3"/>
  <c r="E24" i="3"/>
  <c r="D24" i="3"/>
  <c r="B24" i="3"/>
  <c r="A24" i="3"/>
  <c r="L23" i="3"/>
  <c r="K23" i="3"/>
  <c r="J23" i="3"/>
  <c r="I23" i="3"/>
  <c r="H23" i="3"/>
  <c r="G23" i="3"/>
  <c r="F23" i="3"/>
  <c r="E23" i="3"/>
  <c r="D23" i="3"/>
  <c r="B23" i="3"/>
  <c r="A23" i="3"/>
  <c r="L22" i="3"/>
  <c r="K22" i="3"/>
  <c r="J22" i="3"/>
  <c r="I22" i="3"/>
  <c r="H22" i="3"/>
  <c r="G22" i="3"/>
  <c r="F22" i="3"/>
  <c r="E22" i="3"/>
  <c r="D22" i="3"/>
  <c r="B22" i="3"/>
  <c r="A22" i="3"/>
  <c r="L21" i="3"/>
  <c r="K21" i="3"/>
  <c r="J21" i="3"/>
  <c r="I21" i="3"/>
  <c r="H21" i="3"/>
  <c r="G21" i="3"/>
  <c r="F21" i="3"/>
  <c r="E21" i="3"/>
  <c r="D21" i="3"/>
  <c r="B21" i="3"/>
  <c r="A21" i="3"/>
  <c r="L20" i="3"/>
  <c r="K20" i="3"/>
  <c r="J20" i="3"/>
  <c r="I20" i="3"/>
  <c r="H20" i="3"/>
  <c r="G20" i="3"/>
  <c r="F20" i="3"/>
  <c r="E20" i="3"/>
  <c r="D20" i="3"/>
  <c r="B20" i="3"/>
  <c r="A20" i="3"/>
  <c r="L19" i="3"/>
  <c r="K19" i="3"/>
  <c r="J19" i="3"/>
  <c r="I19" i="3"/>
  <c r="H19" i="3"/>
  <c r="G19" i="3"/>
  <c r="F19" i="3"/>
  <c r="E19" i="3"/>
  <c r="D19" i="3"/>
  <c r="B19" i="3"/>
  <c r="A19" i="3"/>
  <c r="L18" i="3"/>
  <c r="K18" i="3"/>
  <c r="J18" i="3"/>
  <c r="I18" i="3"/>
  <c r="H18" i="3"/>
  <c r="G18" i="3"/>
  <c r="F18" i="3"/>
  <c r="E18" i="3"/>
  <c r="D18" i="3"/>
  <c r="B18" i="3"/>
  <c r="A18" i="3"/>
  <c r="L17" i="3"/>
  <c r="K17" i="3"/>
  <c r="J17" i="3"/>
  <c r="I17" i="3"/>
  <c r="H17" i="3"/>
  <c r="G17" i="3"/>
  <c r="F17" i="3"/>
  <c r="E17" i="3"/>
  <c r="D17" i="3"/>
  <c r="B17" i="3"/>
  <c r="A17" i="3"/>
  <c r="L16" i="3"/>
  <c r="K16" i="3"/>
  <c r="J16" i="3"/>
  <c r="I16" i="3"/>
  <c r="H16" i="3"/>
  <c r="G16" i="3"/>
  <c r="F16" i="3"/>
  <c r="E16" i="3"/>
  <c r="D16" i="3"/>
  <c r="B16" i="3"/>
  <c r="A16" i="3"/>
  <c r="L15" i="3"/>
  <c r="K15" i="3"/>
  <c r="J15" i="3"/>
  <c r="I15" i="3"/>
  <c r="H15" i="3"/>
  <c r="G15" i="3"/>
  <c r="F15" i="3"/>
  <c r="E15" i="3"/>
  <c r="D15" i="3"/>
  <c r="B15" i="3"/>
  <c r="A15" i="3"/>
  <c r="L14" i="3"/>
  <c r="K14" i="3"/>
  <c r="J14" i="3"/>
  <c r="I14" i="3"/>
  <c r="H14" i="3"/>
  <c r="G14" i="3"/>
  <c r="F14" i="3"/>
  <c r="E14" i="3"/>
  <c r="D14" i="3"/>
  <c r="B14" i="3"/>
  <c r="A14" i="3"/>
  <c r="L13" i="3"/>
  <c r="K13" i="3"/>
  <c r="J13" i="3"/>
  <c r="I13" i="3"/>
  <c r="H13" i="3"/>
  <c r="G13" i="3"/>
  <c r="F13" i="3"/>
  <c r="E13" i="3"/>
  <c r="D13" i="3"/>
  <c r="B13" i="3"/>
  <c r="A13" i="3"/>
  <c r="L12" i="3"/>
  <c r="K12" i="3"/>
  <c r="J12" i="3"/>
  <c r="I12" i="3"/>
  <c r="H12" i="3"/>
  <c r="G12" i="3"/>
  <c r="F12" i="3"/>
  <c r="E12" i="3"/>
  <c r="D12" i="3"/>
  <c r="B12" i="3"/>
  <c r="A12" i="3"/>
  <c r="L11" i="3"/>
  <c r="K11" i="3"/>
  <c r="J11" i="3"/>
  <c r="I11" i="3"/>
  <c r="H11" i="3"/>
  <c r="G11" i="3"/>
  <c r="F11" i="3"/>
  <c r="E11" i="3"/>
  <c r="D11" i="3"/>
  <c r="B11" i="3"/>
  <c r="A11" i="3"/>
  <c r="L10" i="3"/>
  <c r="K10" i="3"/>
  <c r="J10" i="3"/>
  <c r="I10" i="3"/>
  <c r="H10" i="3"/>
  <c r="G10" i="3"/>
  <c r="F10" i="3"/>
  <c r="E10" i="3"/>
  <c r="D10" i="3"/>
  <c r="B10" i="3"/>
  <c r="A10" i="3"/>
  <c r="L9" i="3"/>
  <c r="K9" i="3"/>
  <c r="J9" i="3"/>
  <c r="I9" i="3"/>
  <c r="H9" i="3"/>
  <c r="G9" i="3"/>
  <c r="F9" i="3"/>
  <c r="E9" i="3"/>
  <c r="D9" i="3"/>
  <c r="A9" i="3"/>
  <c r="L8" i="3"/>
  <c r="K8" i="3"/>
  <c r="J8" i="3"/>
  <c r="I8" i="3"/>
  <c r="H8" i="3"/>
  <c r="G8" i="3"/>
  <c r="F8" i="3"/>
  <c r="E8" i="3"/>
  <c r="D8" i="3"/>
  <c r="B8" i="3"/>
  <c r="A8" i="3"/>
  <c r="L7" i="3"/>
  <c r="K7" i="3"/>
  <c r="J7" i="3"/>
  <c r="I7" i="3"/>
  <c r="H7" i="3"/>
  <c r="G7" i="3"/>
  <c r="F7" i="3"/>
  <c r="E7" i="3"/>
  <c r="D7" i="3"/>
  <c r="B7" i="3"/>
  <c r="A7" i="3"/>
  <c r="L6" i="3"/>
  <c r="K6" i="3"/>
  <c r="J6" i="3"/>
  <c r="I6" i="3"/>
  <c r="H6" i="3"/>
  <c r="G6" i="3"/>
  <c r="F6" i="3"/>
  <c r="E6" i="3"/>
  <c r="D6" i="3"/>
  <c r="B6" i="3"/>
  <c r="A6" i="3"/>
  <c r="L5" i="3"/>
  <c r="K5" i="3"/>
  <c r="J5" i="3"/>
  <c r="I5" i="3"/>
  <c r="H5" i="3"/>
  <c r="G5" i="3"/>
  <c r="F5" i="3"/>
  <c r="E5" i="3"/>
  <c r="D5" i="3"/>
  <c r="B5" i="3"/>
  <c r="A5" i="3"/>
  <c r="L4" i="3"/>
  <c r="K4" i="3"/>
  <c r="J4" i="3"/>
  <c r="I4" i="3"/>
  <c r="H4" i="3"/>
  <c r="G4" i="3"/>
  <c r="F4" i="3"/>
  <c r="E4" i="3"/>
  <c r="D4" i="3"/>
  <c r="B4" i="3"/>
  <c r="A4" i="3"/>
  <c r="L3" i="3"/>
  <c r="K3" i="3"/>
  <c r="J3" i="3"/>
  <c r="I3" i="3"/>
  <c r="H3" i="3"/>
  <c r="G3" i="3"/>
  <c r="F3" i="3"/>
  <c r="E3" i="3"/>
  <c r="D3" i="3"/>
  <c r="B3" i="3"/>
  <c r="A3" i="3"/>
  <c r="L2" i="3"/>
  <c r="K2" i="3"/>
  <c r="J2" i="3"/>
  <c r="I2" i="3"/>
  <c r="H2" i="3"/>
  <c r="G2" i="3"/>
  <c r="F2" i="3"/>
  <c r="E2" i="3"/>
  <c r="D2" i="3"/>
  <c r="B2" i="3"/>
  <c r="A2" i="3"/>
  <c r="D47" i="4" l="1"/>
  <c r="D46" i="4"/>
  <c r="C46" i="4"/>
  <c r="B46" i="4"/>
  <c r="D45" i="4"/>
  <c r="C45" i="4"/>
  <c r="B45" i="4"/>
  <c r="D44" i="4"/>
  <c r="D43" i="4"/>
  <c r="D42" i="4"/>
  <c r="D41" i="4"/>
  <c r="D40" i="4"/>
  <c r="C40" i="4"/>
  <c r="B40" i="4"/>
  <c r="D39" i="4"/>
  <c r="D38" i="4"/>
  <c r="E17" i="4"/>
  <c r="E16" i="4"/>
  <c r="E15" i="4"/>
  <c r="E14" i="4"/>
  <c r="E18" i="4" s="1"/>
  <c r="E9" i="4"/>
  <c r="E8" i="4"/>
  <c r="E7" i="4"/>
  <c r="E6" i="4"/>
  <c r="E10" i="4" s="1"/>
  <c r="E5" i="1" s="1"/>
  <c r="M451" i="3"/>
  <c r="N451" i="3" s="1"/>
  <c r="O451" i="3" s="1"/>
  <c r="C451" i="3"/>
  <c r="M450" i="3"/>
  <c r="N450" i="3" s="1"/>
  <c r="O450" i="3" s="1"/>
  <c r="C450" i="3"/>
  <c r="M449" i="3"/>
  <c r="N449" i="3" s="1"/>
  <c r="O449" i="3" s="1"/>
  <c r="C449" i="3"/>
  <c r="M448" i="3"/>
  <c r="N448" i="3" s="1"/>
  <c r="O448" i="3" s="1"/>
  <c r="C448" i="3"/>
  <c r="M447" i="3"/>
  <c r="N447" i="3" s="1"/>
  <c r="O447" i="3" s="1"/>
  <c r="C447" i="3"/>
  <c r="M446" i="3"/>
  <c r="N446" i="3" s="1"/>
  <c r="O446" i="3" s="1"/>
  <c r="C446" i="3"/>
  <c r="M445" i="3"/>
  <c r="N445" i="3" s="1"/>
  <c r="O445" i="3" s="1"/>
  <c r="C445" i="3"/>
  <c r="M444" i="3"/>
  <c r="N444" i="3" s="1"/>
  <c r="O444" i="3" s="1"/>
  <c r="C444" i="3"/>
  <c r="M443" i="3"/>
  <c r="N443" i="3" s="1"/>
  <c r="O443" i="3" s="1"/>
  <c r="C443" i="3"/>
  <c r="M442" i="3"/>
  <c r="N442" i="3" s="1"/>
  <c r="O442" i="3" s="1"/>
  <c r="C442" i="3"/>
  <c r="M441" i="3"/>
  <c r="N441" i="3" s="1"/>
  <c r="O441" i="3" s="1"/>
  <c r="C441" i="3"/>
  <c r="M440" i="3"/>
  <c r="N440" i="3" s="1"/>
  <c r="O440" i="3" s="1"/>
  <c r="C440" i="3"/>
  <c r="M439" i="3"/>
  <c r="N439" i="3" s="1"/>
  <c r="O439" i="3" s="1"/>
  <c r="C439" i="3"/>
  <c r="M438" i="3"/>
  <c r="N438" i="3" s="1"/>
  <c r="O438" i="3" s="1"/>
  <c r="C438" i="3"/>
  <c r="M437" i="3"/>
  <c r="N437" i="3" s="1"/>
  <c r="O437" i="3" s="1"/>
  <c r="C437" i="3"/>
  <c r="M436" i="3"/>
  <c r="N436" i="3" s="1"/>
  <c r="O436" i="3" s="1"/>
  <c r="C436" i="3"/>
  <c r="M435" i="3"/>
  <c r="N435" i="3" s="1"/>
  <c r="O435" i="3" s="1"/>
  <c r="C435" i="3"/>
  <c r="M434" i="3"/>
  <c r="N434" i="3" s="1"/>
  <c r="O434" i="3" s="1"/>
  <c r="C434" i="3"/>
  <c r="M433" i="3"/>
  <c r="N433" i="3" s="1"/>
  <c r="O433" i="3" s="1"/>
  <c r="C433" i="3"/>
  <c r="M432" i="3"/>
  <c r="N432" i="3" s="1"/>
  <c r="O432" i="3" s="1"/>
  <c r="C432" i="3"/>
  <c r="M431" i="3"/>
  <c r="N431" i="3" s="1"/>
  <c r="O431" i="3" s="1"/>
  <c r="C431" i="3"/>
  <c r="M430" i="3"/>
  <c r="N430" i="3" s="1"/>
  <c r="O430" i="3" s="1"/>
  <c r="C430" i="3"/>
  <c r="M429" i="3"/>
  <c r="N429" i="3" s="1"/>
  <c r="O429" i="3" s="1"/>
  <c r="C429" i="3"/>
  <c r="M428" i="3"/>
  <c r="N428" i="3" s="1"/>
  <c r="O428" i="3" s="1"/>
  <c r="C428" i="3"/>
  <c r="M427" i="3"/>
  <c r="N427" i="3" s="1"/>
  <c r="O427" i="3" s="1"/>
  <c r="C427" i="3"/>
  <c r="M426" i="3"/>
  <c r="N426" i="3" s="1"/>
  <c r="O426" i="3" s="1"/>
  <c r="C426" i="3"/>
  <c r="M425" i="3"/>
  <c r="N425" i="3" s="1"/>
  <c r="O425" i="3" s="1"/>
  <c r="C425" i="3"/>
  <c r="M424" i="3"/>
  <c r="N424" i="3" s="1"/>
  <c r="O424" i="3" s="1"/>
  <c r="C424" i="3"/>
  <c r="M423" i="3"/>
  <c r="N423" i="3" s="1"/>
  <c r="O423" i="3" s="1"/>
  <c r="C423" i="3"/>
  <c r="M422" i="3"/>
  <c r="N422" i="3" s="1"/>
  <c r="O422" i="3" s="1"/>
  <c r="C422" i="3"/>
  <c r="M421" i="3"/>
  <c r="N421" i="3" s="1"/>
  <c r="O421" i="3" s="1"/>
  <c r="C421" i="3"/>
  <c r="M420" i="3"/>
  <c r="N420" i="3" s="1"/>
  <c r="O420" i="3" s="1"/>
  <c r="C420" i="3"/>
  <c r="M419" i="3"/>
  <c r="N419" i="3" s="1"/>
  <c r="O419" i="3" s="1"/>
  <c r="C419" i="3"/>
  <c r="M418" i="3"/>
  <c r="N418" i="3" s="1"/>
  <c r="O418" i="3" s="1"/>
  <c r="C418" i="3"/>
  <c r="M417" i="3"/>
  <c r="N417" i="3" s="1"/>
  <c r="O417" i="3" s="1"/>
  <c r="C417" i="3"/>
  <c r="M416" i="3"/>
  <c r="N416" i="3" s="1"/>
  <c r="O416" i="3" s="1"/>
  <c r="C416" i="3"/>
  <c r="M415" i="3"/>
  <c r="N415" i="3" s="1"/>
  <c r="O415" i="3" s="1"/>
  <c r="C415" i="3"/>
  <c r="M414" i="3"/>
  <c r="N414" i="3" s="1"/>
  <c r="O414" i="3" s="1"/>
  <c r="C414" i="3"/>
  <c r="M413" i="3"/>
  <c r="N413" i="3" s="1"/>
  <c r="O413" i="3" s="1"/>
  <c r="C413" i="3"/>
  <c r="C409" i="3"/>
  <c r="N408" i="3"/>
  <c r="O408" i="3" s="1"/>
  <c r="C407" i="3"/>
  <c r="C406" i="3"/>
  <c r="C403" i="3"/>
  <c r="M402" i="3"/>
  <c r="N402" i="3" s="1"/>
  <c r="O402" i="3" s="1"/>
  <c r="C402" i="3"/>
  <c r="M401" i="3"/>
  <c r="N401" i="3" s="1"/>
  <c r="O401" i="3" s="1"/>
  <c r="C401" i="3"/>
  <c r="M400" i="3"/>
  <c r="N400" i="3" s="1"/>
  <c r="O400" i="3" s="1"/>
  <c r="C400" i="3"/>
  <c r="M399" i="3"/>
  <c r="N399" i="3" s="1"/>
  <c r="O399" i="3" s="1"/>
  <c r="C399" i="3"/>
  <c r="M398" i="3"/>
  <c r="N398" i="3" s="1"/>
  <c r="O398" i="3" s="1"/>
  <c r="C398" i="3"/>
  <c r="M397" i="3"/>
  <c r="N397" i="3" s="1"/>
  <c r="O397" i="3" s="1"/>
  <c r="C397" i="3"/>
  <c r="M396" i="3"/>
  <c r="N396" i="3" s="1"/>
  <c r="O396" i="3" s="1"/>
  <c r="C396" i="3"/>
  <c r="M395" i="3"/>
  <c r="N395" i="3" s="1"/>
  <c r="O395" i="3" s="1"/>
  <c r="C395" i="3"/>
  <c r="M394" i="3"/>
  <c r="N394" i="3" s="1"/>
  <c r="O394" i="3" s="1"/>
  <c r="C394" i="3"/>
  <c r="M393" i="3"/>
  <c r="N393" i="3" s="1"/>
  <c r="O393" i="3" s="1"/>
  <c r="C393" i="3"/>
  <c r="M392" i="3"/>
  <c r="N392" i="3" s="1"/>
  <c r="O392" i="3" s="1"/>
  <c r="C392" i="3"/>
  <c r="M391" i="3"/>
  <c r="N391" i="3" s="1"/>
  <c r="O391" i="3" s="1"/>
  <c r="C391" i="3"/>
  <c r="M390" i="3"/>
  <c r="N390" i="3" s="1"/>
  <c r="O390" i="3" s="1"/>
  <c r="C390" i="3"/>
  <c r="M389" i="3"/>
  <c r="N389" i="3" s="1"/>
  <c r="O389" i="3" s="1"/>
  <c r="C389" i="3"/>
  <c r="M388" i="3"/>
  <c r="N388" i="3" s="1"/>
  <c r="O388" i="3" s="1"/>
  <c r="C388" i="3"/>
  <c r="M387" i="3"/>
  <c r="N387" i="3" s="1"/>
  <c r="O387" i="3" s="1"/>
  <c r="C387" i="3"/>
  <c r="M386" i="3"/>
  <c r="N386" i="3" s="1"/>
  <c r="O386" i="3" s="1"/>
  <c r="C386" i="3"/>
  <c r="M385" i="3"/>
  <c r="N385" i="3" s="1"/>
  <c r="O385" i="3" s="1"/>
  <c r="C385" i="3"/>
  <c r="M384" i="3"/>
  <c r="N384" i="3" s="1"/>
  <c r="O384" i="3" s="1"/>
  <c r="C384" i="3"/>
  <c r="M383" i="3"/>
  <c r="N383" i="3" s="1"/>
  <c r="O383" i="3" s="1"/>
  <c r="C383" i="3"/>
  <c r="M382" i="3"/>
  <c r="N382" i="3" s="1"/>
  <c r="O382" i="3" s="1"/>
  <c r="C382" i="3"/>
  <c r="M381" i="3"/>
  <c r="N381" i="3" s="1"/>
  <c r="O381" i="3" s="1"/>
  <c r="C381" i="3"/>
  <c r="M380" i="3"/>
  <c r="N380" i="3" s="1"/>
  <c r="O380" i="3" s="1"/>
  <c r="C380" i="3"/>
  <c r="M379" i="3"/>
  <c r="N379" i="3" s="1"/>
  <c r="O379" i="3" s="1"/>
  <c r="C379" i="3"/>
  <c r="M378" i="3"/>
  <c r="N378" i="3" s="1"/>
  <c r="O378" i="3" s="1"/>
  <c r="C378" i="3"/>
  <c r="M377" i="3"/>
  <c r="N377" i="3" s="1"/>
  <c r="O377" i="3" s="1"/>
  <c r="C377" i="3"/>
  <c r="M376" i="3"/>
  <c r="N376" i="3" s="1"/>
  <c r="O376" i="3" s="1"/>
  <c r="C376" i="3"/>
  <c r="M375" i="3"/>
  <c r="N375" i="3" s="1"/>
  <c r="O375" i="3" s="1"/>
  <c r="C375" i="3"/>
  <c r="M374" i="3"/>
  <c r="N374" i="3" s="1"/>
  <c r="O374" i="3" s="1"/>
  <c r="C374" i="3"/>
  <c r="M373" i="3"/>
  <c r="N373" i="3" s="1"/>
  <c r="O373" i="3" s="1"/>
  <c r="C373" i="3"/>
  <c r="M372" i="3"/>
  <c r="N372" i="3" s="1"/>
  <c r="O372" i="3" s="1"/>
  <c r="C372" i="3"/>
  <c r="M371" i="3"/>
  <c r="N371" i="3" s="1"/>
  <c r="O371" i="3" s="1"/>
  <c r="C371" i="3"/>
  <c r="M370" i="3"/>
  <c r="N370" i="3" s="1"/>
  <c r="O370" i="3" s="1"/>
  <c r="C370" i="3"/>
  <c r="M369" i="3"/>
  <c r="N369" i="3" s="1"/>
  <c r="O369" i="3" s="1"/>
  <c r="C369" i="3"/>
  <c r="M368" i="3"/>
  <c r="N368" i="3" s="1"/>
  <c r="O368" i="3" s="1"/>
  <c r="C368" i="3"/>
  <c r="M367" i="3"/>
  <c r="N367" i="3" s="1"/>
  <c r="O367" i="3" s="1"/>
  <c r="C367" i="3"/>
  <c r="M366" i="3"/>
  <c r="N366" i="3" s="1"/>
  <c r="O366" i="3" s="1"/>
  <c r="C366" i="3"/>
  <c r="M365" i="3"/>
  <c r="N365" i="3" s="1"/>
  <c r="O365" i="3" s="1"/>
  <c r="C365" i="3"/>
  <c r="M364" i="3"/>
  <c r="N364" i="3" s="1"/>
  <c r="O364" i="3" s="1"/>
  <c r="C364" i="3"/>
  <c r="M363" i="3"/>
  <c r="N363" i="3" s="1"/>
  <c r="O363" i="3" s="1"/>
  <c r="C363" i="3"/>
  <c r="M362" i="3"/>
  <c r="N362" i="3" s="1"/>
  <c r="O362" i="3" s="1"/>
  <c r="C362" i="3"/>
  <c r="M361" i="3"/>
  <c r="N361" i="3" s="1"/>
  <c r="O361" i="3" s="1"/>
  <c r="C361" i="3"/>
  <c r="M360" i="3"/>
  <c r="N360" i="3" s="1"/>
  <c r="O360" i="3" s="1"/>
  <c r="C360" i="3"/>
  <c r="M359" i="3"/>
  <c r="N359" i="3" s="1"/>
  <c r="O359" i="3" s="1"/>
  <c r="C359" i="3"/>
  <c r="M358" i="3"/>
  <c r="N358" i="3" s="1"/>
  <c r="O358" i="3" s="1"/>
  <c r="C358" i="3"/>
  <c r="M357" i="3"/>
  <c r="N357" i="3" s="1"/>
  <c r="O357" i="3" s="1"/>
  <c r="C357" i="3"/>
  <c r="M356" i="3"/>
  <c r="N356" i="3" s="1"/>
  <c r="O356" i="3" s="1"/>
  <c r="C356" i="3"/>
  <c r="M355" i="3"/>
  <c r="N355" i="3" s="1"/>
  <c r="O355" i="3" s="1"/>
  <c r="C355" i="3"/>
  <c r="M354" i="3"/>
  <c r="N354" i="3" s="1"/>
  <c r="O354" i="3" s="1"/>
  <c r="C354" i="3"/>
  <c r="M353" i="3"/>
  <c r="N353" i="3" s="1"/>
  <c r="O353" i="3" s="1"/>
  <c r="C353" i="3"/>
  <c r="M352" i="3"/>
  <c r="N352" i="3" s="1"/>
  <c r="O352" i="3" s="1"/>
  <c r="C352" i="3"/>
  <c r="M351" i="3"/>
  <c r="N351" i="3" s="1"/>
  <c r="O351" i="3" s="1"/>
  <c r="C351" i="3"/>
  <c r="M350" i="3"/>
  <c r="N350" i="3" s="1"/>
  <c r="O350" i="3" s="1"/>
  <c r="C350" i="3"/>
  <c r="M349" i="3"/>
  <c r="N349" i="3" s="1"/>
  <c r="O349" i="3" s="1"/>
  <c r="C349" i="3"/>
  <c r="M348" i="3"/>
  <c r="N348" i="3" s="1"/>
  <c r="O348" i="3" s="1"/>
  <c r="C348" i="3"/>
  <c r="M347" i="3"/>
  <c r="N347" i="3" s="1"/>
  <c r="O347" i="3" s="1"/>
  <c r="C347" i="3"/>
  <c r="M346" i="3"/>
  <c r="N346" i="3" s="1"/>
  <c r="O346" i="3" s="1"/>
  <c r="C346" i="3"/>
  <c r="M345" i="3"/>
  <c r="N345" i="3" s="1"/>
  <c r="O345" i="3" s="1"/>
  <c r="M294" i="3"/>
  <c r="N294" i="3" s="1"/>
  <c r="C293" i="3"/>
  <c r="M292" i="3"/>
  <c r="N292" i="3" s="1"/>
  <c r="O292" i="3" s="1"/>
  <c r="M291" i="3"/>
  <c r="N291" i="3" s="1"/>
  <c r="O291" i="3" s="1"/>
  <c r="M290" i="3"/>
  <c r="N290" i="3" s="1"/>
  <c r="O290" i="3" s="1"/>
  <c r="C290" i="3"/>
  <c r="M288" i="3"/>
  <c r="N288" i="3" s="1"/>
  <c r="M237" i="3"/>
  <c r="N237" i="3" s="1"/>
  <c r="M236" i="3"/>
  <c r="N236" i="3" s="1"/>
  <c r="O236" i="3" s="1"/>
  <c r="M233" i="3"/>
  <c r="N233" i="3" s="1"/>
  <c r="O233" i="3" s="1"/>
  <c r="M127" i="3"/>
  <c r="N127" i="3" s="1"/>
  <c r="O127" i="3" s="1"/>
  <c r="C127" i="3"/>
  <c r="C126" i="3"/>
  <c r="M125" i="3"/>
  <c r="N125" i="3" s="1"/>
  <c r="O125" i="3" s="1"/>
  <c r="M123" i="3"/>
  <c r="N123" i="3" s="1"/>
  <c r="O123" i="3" s="1"/>
  <c r="C123" i="3"/>
  <c r="C121" i="3"/>
  <c r="N119" i="3"/>
  <c r="O119" i="3" s="1"/>
  <c r="C119" i="3"/>
  <c r="C117" i="3"/>
  <c r="C3" i="3"/>
  <c r="M412" i="3"/>
  <c r="N412" i="3" s="1"/>
  <c r="C411" i="3"/>
  <c r="C408" i="3"/>
  <c r="C405" i="3"/>
  <c r="C345" i="3"/>
  <c r="M344" i="3"/>
  <c r="N344" i="3" s="1"/>
  <c r="O344" i="3" s="1"/>
  <c r="C344" i="3"/>
  <c r="M343" i="3"/>
  <c r="N343" i="3" s="1"/>
  <c r="O343" i="3" s="1"/>
  <c r="C343" i="3"/>
  <c r="M342" i="3"/>
  <c r="N342" i="3" s="1"/>
  <c r="O342" i="3" s="1"/>
  <c r="C342" i="3"/>
  <c r="M341" i="3"/>
  <c r="N341" i="3" s="1"/>
  <c r="O341" i="3" s="1"/>
  <c r="C341" i="3"/>
  <c r="M340" i="3"/>
  <c r="N340" i="3" s="1"/>
  <c r="O340" i="3" s="1"/>
  <c r="C340" i="3"/>
  <c r="M339" i="3"/>
  <c r="N339" i="3" s="1"/>
  <c r="O339" i="3" s="1"/>
  <c r="C339" i="3"/>
  <c r="M338" i="3"/>
  <c r="N338" i="3" s="1"/>
  <c r="O338" i="3" s="1"/>
  <c r="C338" i="3"/>
  <c r="M337" i="3"/>
  <c r="N337" i="3" s="1"/>
  <c r="O337" i="3" s="1"/>
  <c r="C337" i="3"/>
  <c r="M336" i="3"/>
  <c r="N336" i="3" s="1"/>
  <c r="O336" i="3" s="1"/>
  <c r="C336" i="3"/>
  <c r="M335" i="3"/>
  <c r="N335" i="3" s="1"/>
  <c r="O335" i="3" s="1"/>
  <c r="C335" i="3"/>
  <c r="M334" i="3"/>
  <c r="N334" i="3" s="1"/>
  <c r="O334" i="3" s="1"/>
  <c r="C334" i="3"/>
  <c r="M333" i="3"/>
  <c r="N333" i="3" s="1"/>
  <c r="O333" i="3" s="1"/>
  <c r="C333" i="3"/>
  <c r="M332" i="3"/>
  <c r="N332" i="3" s="1"/>
  <c r="O332" i="3" s="1"/>
  <c r="C332" i="3"/>
  <c r="M331" i="3"/>
  <c r="N331" i="3" s="1"/>
  <c r="O331" i="3" s="1"/>
  <c r="C331" i="3"/>
  <c r="M330" i="3"/>
  <c r="N330" i="3" s="1"/>
  <c r="O330" i="3" s="1"/>
  <c r="C330" i="3"/>
  <c r="M329" i="3"/>
  <c r="N329" i="3" s="1"/>
  <c r="O329" i="3" s="1"/>
  <c r="C329" i="3"/>
  <c r="M328" i="3"/>
  <c r="N328" i="3" s="1"/>
  <c r="O328" i="3" s="1"/>
  <c r="C328" i="3"/>
  <c r="M327" i="3"/>
  <c r="N327" i="3" s="1"/>
  <c r="O327" i="3" s="1"/>
  <c r="C327" i="3"/>
  <c r="M326" i="3"/>
  <c r="N326" i="3" s="1"/>
  <c r="O326" i="3" s="1"/>
  <c r="C326" i="3"/>
  <c r="M325" i="3"/>
  <c r="N325" i="3" s="1"/>
  <c r="O325" i="3" s="1"/>
  <c r="C325" i="3"/>
  <c r="M324" i="3"/>
  <c r="N324" i="3" s="1"/>
  <c r="O324" i="3" s="1"/>
  <c r="C324" i="3"/>
  <c r="M323" i="3"/>
  <c r="N323" i="3" s="1"/>
  <c r="O323" i="3" s="1"/>
  <c r="C323" i="3"/>
  <c r="M322" i="3"/>
  <c r="N322" i="3" s="1"/>
  <c r="O322" i="3" s="1"/>
  <c r="C322" i="3"/>
  <c r="M321" i="3"/>
  <c r="N321" i="3" s="1"/>
  <c r="O321" i="3" s="1"/>
  <c r="C321" i="3"/>
  <c r="M320" i="3"/>
  <c r="N320" i="3" s="1"/>
  <c r="O320" i="3" s="1"/>
  <c r="C320" i="3"/>
  <c r="M319" i="3"/>
  <c r="N319" i="3" s="1"/>
  <c r="O319" i="3" s="1"/>
  <c r="C319" i="3"/>
  <c r="M318" i="3"/>
  <c r="N318" i="3" s="1"/>
  <c r="O318" i="3" s="1"/>
  <c r="C318" i="3"/>
  <c r="M317" i="3"/>
  <c r="N317" i="3" s="1"/>
  <c r="O317" i="3" s="1"/>
  <c r="C317" i="3"/>
  <c r="M316" i="3"/>
  <c r="N316" i="3" s="1"/>
  <c r="O316" i="3" s="1"/>
  <c r="C316" i="3"/>
  <c r="M315" i="3"/>
  <c r="N315" i="3" s="1"/>
  <c r="O315" i="3" s="1"/>
  <c r="C315" i="3"/>
  <c r="M314" i="3"/>
  <c r="N314" i="3" s="1"/>
  <c r="O314" i="3" s="1"/>
  <c r="C314" i="3"/>
  <c r="M313" i="3"/>
  <c r="N313" i="3" s="1"/>
  <c r="O313" i="3" s="1"/>
  <c r="C313" i="3"/>
  <c r="M312" i="3"/>
  <c r="N312" i="3" s="1"/>
  <c r="O312" i="3" s="1"/>
  <c r="C312" i="3"/>
  <c r="M311" i="3"/>
  <c r="N311" i="3" s="1"/>
  <c r="O311" i="3" s="1"/>
  <c r="C311" i="3"/>
  <c r="M310" i="3"/>
  <c r="N310" i="3" s="1"/>
  <c r="O310" i="3" s="1"/>
  <c r="C310" i="3"/>
  <c r="M309" i="3"/>
  <c r="N309" i="3" s="1"/>
  <c r="O309" i="3" s="1"/>
  <c r="C309" i="3"/>
  <c r="M308" i="3"/>
  <c r="N308" i="3" s="1"/>
  <c r="O308" i="3" s="1"/>
  <c r="C308" i="3"/>
  <c r="M307" i="3"/>
  <c r="N307" i="3" s="1"/>
  <c r="O307" i="3" s="1"/>
  <c r="C307" i="3"/>
  <c r="M306" i="3"/>
  <c r="N306" i="3" s="1"/>
  <c r="O306" i="3" s="1"/>
  <c r="C306" i="3"/>
  <c r="M305" i="3"/>
  <c r="N305" i="3" s="1"/>
  <c r="O305" i="3" s="1"/>
  <c r="C305" i="3"/>
  <c r="M304" i="3"/>
  <c r="N304" i="3" s="1"/>
  <c r="O304" i="3" s="1"/>
  <c r="C304" i="3"/>
  <c r="M303" i="3"/>
  <c r="N303" i="3" s="1"/>
  <c r="O303" i="3" s="1"/>
  <c r="C303" i="3"/>
  <c r="M302" i="3"/>
  <c r="N302" i="3" s="1"/>
  <c r="O302" i="3" s="1"/>
  <c r="C302" i="3"/>
  <c r="M301" i="3"/>
  <c r="N301" i="3" s="1"/>
  <c r="O301" i="3" s="1"/>
  <c r="C301" i="3"/>
  <c r="M300" i="3"/>
  <c r="N300" i="3" s="1"/>
  <c r="O300" i="3" s="1"/>
  <c r="C300" i="3"/>
  <c r="M299" i="3"/>
  <c r="N299" i="3" s="1"/>
  <c r="O299" i="3" s="1"/>
  <c r="C299" i="3"/>
  <c r="M298" i="3"/>
  <c r="N298" i="3" s="1"/>
  <c r="O298" i="3" s="1"/>
  <c r="C298" i="3"/>
  <c r="M297" i="3"/>
  <c r="N297" i="3" s="1"/>
  <c r="O297" i="3" s="1"/>
  <c r="C297" i="3"/>
  <c r="M296" i="3"/>
  <c r="N296" i="3" s="1"/>
  <c r="O296" i="3" s="1"/>
  <c r="C296" i="3"/>
  <c r="M295" i="3"/>
  <c r="N295" i="3" s="1"/>
  <c r="O295" i="3" s="1"/>
  <c r="C295" i="3"/>
  <c r="C294" i="3"/>
  <c r="M293" i="3"/>
  <c r="N293" i="3" s="1"/>
  <c r="O293" i="3" s="1"/>
  <c r="C292" i="3"/>
  <c r="C291" i="3"/>
  <c r="M289" i="3"/>
  <c r="N289" i="3" s="1"/>
  <c r="O289" i="3" s="1"/>
  <c r="C289" i="3"/>
  <c r="C288" i="3"/>
  <c r="C236" i="3"/>
  <c r="M234" i="3"/>
  <c r="N234" i="3" s="1"/>
  <c r="C234" i="3"/>
  <c r="M231" i="3"/>
  <c r="N231" i="3" s="1"/>
  <c r="C231" i="3"/>
  <c r="M287" i="3"/>
  <c r="N287" i="3" s="1"/>
  <c r="O287" i="3" s="1"/>
  <c r="C287" i="3"/>
  <c r="M286" i="3"/>
  <c r="N286" i="3" s="1"/>
  <c r="O286" i="3" s="1"/>
  <c r="C286" i="3"/>
  <c r="M285" i="3"/>
  <c r="N285" i="3" s="1"/>
  <c r="O285" i="3" s="1"/>
  <c r="C285" i="3"/>
  <c r="M284" i="3"/>
  <c r="N284" i="3" s="1"/>
  <c r="O284" i="3" s="1"/>
  <c r="C284" i="3"/>
  <c r="M283" i="3"/>
  <c r="N283" i="3" s="1"/>
  <c r="O283" i="3" s="1"/>
  <c r="C283" i="3"/>
  <c r="M282" i="3"/>
  <c r="N282" i="3" s="1"/>
  <c r="O282" i="3" s="1"/>
  <c r="C282" i="3"/>
  <c r="M281" i="3"/>
  <c r="N281" i="3" s="1"/>
  <c r="O281" i="3" s="1"/>
  <c r="C281" i="3"/>
  <c r="M280" i="3"/>
  <c r="N280" i="3" s="1"/>
  <c r="O280" i="3" s="1"/>
  <c r="C280" i="3"/>
  <c r="M279" i="3"/>
  <c r="N279" i="3" s="1"/>
  <c r="O279" i="3" s="1"/>
  <c r="C279" i="3"/>
  <c r="M278" i="3"/>
  <c r="N278" i="3" s="1"/>
  <c r="O278" i="3" s="1"/>
  <c r="C278" i="3"/>
  <c r="M277" i="3"/>
  <c r="N277" i="3" s="1"/>
  <c r="O277" i="3" s="1"/>
  <c r="C277" i="3"/>
  <c r="M276" i="3"/>
  <c r="N276" i="3" s="1"/>
  <c r="O276" i="3" s="1"/>
  <c r="C276" i="3"/>
  <c r="M275" i="3"/>
  <c r="N275" i="3" s="1"/>
  <c r="O275" i="3" s="1"/>
  <c r="C275" i="3"/>
  <c r="M274" i="3"/>
  <c r="N274" i="3" s="1"/>
  <c r="O274" i="3" s="1"/>
  <c r="C274" i="3"/>
  <c r="M273" i="3"/>
  <c r="N273" i="3" s="1"/>
  <c r="O273" i="3" s="1"/>
  <c r="C273" i="3"/>
  <c r="M272" i="3"/>
  <c r="N272" i="3" s="1"/>
  <c r="O272" i="3" s="1"/>
  <c r="C272" i="3"/>
  <c r="M271" i="3"/>
  <c r="N271" i="3" s="1"/>
  <c r="O271" i="3" s="1"/>
  <c r="C271" i="3"/>
  <c r="M270" i="3"/>
  <c r="N270" i="3" s="1"/>
  <c r="O270" i="3" s="1"/>
  <c r="C270" i="3"/>
  <c r="M269" i="3"/>
  <c r="N269" i="3" s="1"/>
  <c r="O269" i="3" s="1"/>
  <c r="C269" i="3"/>
  <c r="M268" i="3"/>
  <c r="N268" i="3" s="1"/>
  <c r="O268" i="3" s="1"/>
  <c r="C268" i="3"/>
  <c r="M267" i="3"/>
  <c r="N267" i="3" s="1"/>
  <c r="O267" i="3" s="1"/>
  <c r="C267" i="3"/>
  <c r="M266" i="3"/>
  <c r="N266" i="3" s="1"/>
  <c r="O266" i="3" s="1"/>
  <c r="C266" i="3"/>
  <c r="M265" i="3"/>
  <c r="N265" i="3" s="1"/>
  <c r="O265" i="3" s="1"/>
  <c r="C265" i="3"/>
  <c r="M264" i="3"/>
  <c r="N264" i="3" s="1"/>
  <c r="O264" i="3" s="1"/>
  <c r="C264" i="3"/>
  <c r="M263" i="3"/>
  <c r="N263" i="3" s="1"/>
  <c r="O263" i="3" s="1"/>
  <c r="C263" i="3"/>
  <c r="M262" i="3"/>
  <c r="N262" i="3" s="1"/>
  <c r="O262" i="3" s="1"/>
  <c r="C262" i="3"/>
  <c r="M261" i="3"/>
  <c r="N261" i="3" s="1"/>
  <c r="O261" i="3" s="1"/>
  <c r="C261" i="3"/>
  <c r="M260" i="3"/>
  <c r="N260" i="3" s="1"/>
  <c r="O260" i="3" s="1"/>
  <c r="C260" i="3"/>
  <c r="M259" i="3"/>
  <c r="N259" i="3" s="1"/>
  <c r="O259" i="3" s="1"/>
  <c r="C259" i="3"/>
  <c r="M258" i="3"/>
  <c r="N258" i="3" s="1"/>
  <c r="O258" i="3" s="1"/>
  <c r="C258" i="3"/>
  <c r="M257" i="3"/>
  <c r="N257" i="3" s="1"/>
  <c r="O257" i="3" s="1"/>
  <c r="C257" i="3"/>
  <c r="M256" i="3"/>
  <c r="N256" i="3" s="1"/>
  <c r="O256" i="3" s="1"/>
  <c r="C256" i="3"/>
  <c r="M255" i="3"/>
  <c r="N255" i="3" s="1"/>
  <c r="O255" i="3" s="1"/>
  <c r="C255" i="3"/>
  <c r="M254" i="3"/>
  <c r="N254" i="3" s="1"/>
  <c r="O254" i="3" s="1"/>
  <c r="C254" i="3"/>
  <c r="M253" i="3"/>
  <c r="N253" i="3" s="1"/>
  <c r="O253" i="3" s="1"/>
  <c r="C253" i="3"/>
  <c r="M252" i="3"/>
  <c r="N252" i="3" s="1"/>
  <c r="O252" i="3" s="1"/>
  <c r="C252" i="3"/>
  <c r="M251" i="3"/>
  <c r="N251" i="3" s="1"/>
  <c r="O251" i="3" s="1"/>
  <c r="C251" i="3"/>
  <c r="M250" i="3"/>
  <c r="N250" i="3" s="1"/>
  <c r="O250" i="3" s="1"/>
  <c r="C250" i="3"/>
  <c r="M249" i="3"/>
  <c r="N249" i="3" s="1"/>
  <c r="O249" i="3" s="1"/>
  <c r="C249" i="3"/>
  <c r="M248" i="3"/>
  <c r="N248" i="3" s="1"/>
  <c r="O248" i="3" s="1"/>
  <c r="C248" i="3"/>
  <c r="M247" i="3"/>
  <c r="N247" i="3" s="1"/>
  <c r="O247" i="3" s="1"/>
  <c r="C247" i="3"/>
  <c r="M246" i="3"/>
  <c r="N246" i="3" s="1"/>
  <c r="O246" i="3" s="1"/>
  <c r="C246" i="3"/>
  <c r="M245" i="3"/>
  <c r="N245" i="3" s="1"/>
  <c r="O245" i="3" s="1"/>
  <c r="C245" i="3"/>
  <c r="M244" i="3"/>
  <c r="N244" i="3" s="1"/>
  <c r="O244" i="3" s="1"/>
  <c r="C244" i="3"/>
  <c r="M243" i="3"/>
  <c r="N243" i="3" s="1"/>
  <c r="O243" i="3" s="1"/>
  <c r="C243" i="3"/>
  <c r="M242" i="3"/>
  <c r="N242" i="3" s="1"/>
  <c r="O242" i="3" s="1"/>
  <c r="C242" i="3"/>
  <c r="M241" i="3"/>
  <c r="N241" i="3" s="1"/>
  <c r="O241" i="3" s="1"/>
  <c r="C241" i="3"/>
  <c r="M240" i="3"/>
  <c r="N240" i="3" s="1"/>
  <c r="O240" i="3" s="1"/>
  <c r="C240" i="3"/>
  <c r="M239" i="3"/>
  <c r="N239" i="3" s="1"/>
  <c r="O239" i="3" s="1"/>
  <c r="C239" i="3"/>
  <c r="M238" i="3"/>
  <c r="N238" i="3" s="1"/>
  <c r="O238" i="3" s="1"/>
  <c r="C238" i="3"/>
  <c r="C237" i="3"/>
  <c r="M235" i="3"/>
  <c r="N235" i="3" s="1"/>
  <c r="O235" i="3" s="1"/>
  <c r="C235" i="3"/>
  <c r="C233" i="3"/>
  <c r="M232" i="3"/>
  <c r="N232" i="3" s="1"/>
  <c r="O232" i="3" s="1"/>
  <c r="C232" i="3"/>
  <c r="N230" i="3"/>
  <c r="O230" i="3" s="1"/>
  <c r="C128" i="3"/>
  <c r="M126" i="3"/>
  <c r="N126" i="3" s="1"/>
  <c r="O126" i="3" s="1"/>
  <c r="C125" i="3"/>
  <c r="M124" i="3"/>
  <c r="N124" i="3" s="1"/>
  <c r="O124" i="3" s="1"/>
  <c r="C124" i="3"/>
  <c r="C122" i="3"/>
  <c r="M121" i="3"/>
  <c r="N121" i="3" s="1"/>
  <c r="O121" i="3" s="1"/>
  <c r="M120" i="3"/>
  <c r="N120" i="3" s="1"/>
  <c r="O120" i="3" s="1"/>
  <c r="C230" i="3"/>
  <c r="M229" i="3"/>
  <c r="N229" i="3" s="1"/>
  <c r="O229" i="3" s="1"/>
  <c r="C229" i="3"/>
  <c r="M228" i="3"/>
  <c r="N228" i="3" s="1"/>
  <c r="O228" i="3" s="1"/>
  <c r="C228" i="3"/>
  <c r="M227" i="3"/>
  <c r="N227" i="3" s="1"/>
  <c r="O227" i="3" s="1"/>
  <c r="C227" i="3"/>
  <c r="M226" i="3"/>
  <c r="N226" i="3" s="1"/>
  <c r="O226" i="3" s="1"/>
  <c r="C226" i="3"/>
  <c r="M225" i="3"/>
  <c r="N225" i="3" s="1"/>
  <c r="O225" i="3" s="1"/>
  <c r="C225" i="3"/>
  <c r="M224" i="3"/>
  <c r="N224" i="3" s="1"/>
  <c r="O224" i="3" s="1"/>
  <c r="C224" i="3"/>
  <c r="M223" i="3"/>
  <c r="N223" i="3" s="1"/>
  <c r="O223" i="3" s="1"/>
  <c r="C223" i="3"/>
  <c r="M222" i="3"/>
  <c r="N222" i="3" s="1"/>
  <c r="O222" i="3" s="1"/>
  <c r="C222" i="3"/>
  <c r="M221" i="3"/>
  <c r="N221" i="3" s="1"/>
  <c r="O221" i="3" s="1"/>
  <c r="C221" i="3"/>
  <c r="M220" i="3"/>
  <c r="N220" i="3" s="1"/>
  <c r="O220" i="3" s="1"/>
  <c r="C220" i="3"/>
  <c r="M219" i="3"/>
  <c r="N219" i="3" s="1"/>
  <c r="O219" i="3" s="1"/>
  <c r="C219" i="3"/>
  <c r="M218" i="3"/>
  <c r="N218" i="3" s="1"/>
  <c r="O218" i="3" s="1"/>
  <c r="C218" i="3"/>
  <c r="M217" i="3"/>
  <c r="N217" i="3" s="1"/>
  <c r="O217" i="3" s="1"/>
  <c r="C217" i="3"/>
  <c r="M216" i="3"/>
  <c r="N216" i="3" s="1"/>
  <c r="O216" i="3" s="1"/>
  <c r="C216" i="3"/>
  <c r="M215" i="3"/>
  <c r="N215" i="3" s="1"/>
  <c r="O215" i="3" s="1"/>
  <c r="C215" i="3"/>
  <c r="M214" i="3"/>
  <c r="N214" i="3" s="1"/>
  <c r="O214" i="3" s="1"/>
  <c r="C214" i="3"/>
  <c r="M213" i="3"/>
  <c r="N213" i="3" s="1"/>
  <c r="O213" i="3" s="1"/>
  <c r="C213" i="3"/>
  <c r="M212" i="3"/>
  <c r="N212" i="3" s="1"/>
  <c r="O212" i="3" s="1"/>
  <c r="C212" i="3"/>
  <c r="M211" i="3"/>
  <c r="N211" i="3" s="1"/>
  <c r="O211" i="3" s="1"/>
  <c r="C211" i="3"/>
  <c r="M210" i="3"/>
  <c r="N210" i="3" s="1"/>
  <c r="O210" i="3" s="1"/>
  <c r="C210" i="3"/>
  <c r="M209" i="3"/>
  <c r="N209" i="3" s="1"/>
  <c r="O209" i="3" s="1"/>
  <c r="C209" i="3"/>
  <c r="M208" i="3"/>
  <c r="N208" i="3" s="1"/>
  <c r="O208" i="3" s="1"/>
  <c r="C208" i="3"/>
  <c r="M207" i="3"/>
  <c r="N207" i="3" s="1"/>
  <c r="O207" i="3" s="1"/>
  <c r="C207" i="3"/>
  <c r="M206" i="3"/>
  <c r="N206" i="3" s="1"/>
  <c r="O206" i="3" s="1"/>
  <c r="C206" i="3"/>
  <c r="M205" i="3"/>
  <c r="N205" i="3" s="1"/>
  <c r="O205" i="3" s="1"/>
  <c r="C205" i="3"/>
  <c r="M204" i="3"/>
  <c r="N204" i="3" s="1"/>
  <c r="O204" i="3" s="1"/>
  <c r="C204" i="3"/>
  <c r="M203" i="3"/>
  <c r="N203" i="3" s="1"/>
  <c r="O203" i="3" s="1"/>
  <c r="C203" i="3"/>
  <c r="M202" i="3"/>
  <c r="N202" i="3" s="1"/>
  <c r="O202" i="3" s="1"/>
  <c r="C202" i="3"/>
  <c r="M201" i="3"/>
  <c r="N201" i="3" s="1"/>
  <c r="O201" i="3" s="1"/>
  <c r="C201" i="3"/>
  <c r="M200" i="3"/>
  <c r="N200" i="3" s="1"/>
  <c r="O200" i="3" s="1"/>
  <c r="C200" i="3"/>
  <c r="M199" i="3"/>
  <c r="N199" i="3" s="1"/>
  <c r="O199" i="3" s="1"/>
  <c r="C199" i="3"/>
  <c r="M198" i="3"/>
  <c r="N198" i="3" s="1"/>
  <c r="O198" i="3" s="1"/>
  <c r="C198" i="3"/>
  <c r="M197" i="3"/>
  <c r="N197" i="3" s="1"/>
  <c r="O197" i="3" s="1"/>
  <c r="C197" i="3"/>
  <c r="M196" i="3"/>
  <c r="N196" i="3" s="1"/>
  <c r="O196" i="3" s="1"/>
  <c r="C196" i="3"/>
  <c r="M195" i="3"/>
  <c r="N195" i="3" s="1"/>
  <c r="O195" i="3" s="1"/>
  <c r="C195" i="3"/>
  <c r="M194" i="3"/>
  <c r="N194" i="3" s="1"/>
  <c r="O194" i="3" s="1"/>
  <c r="C194" i="3"/>
  <c r="M193" i="3"/>
  <c r="N193" i="3" s="1"/>
  <c r="O193" i="3" s="1"/>
  <c r="C193" i="3"/>
  <c r="M192" i="3"/>
  <c r="N192" i="3" s="1"/>
  <c r="O192" i="3" s="1"/>
  <c r="C192" i="3"/>
  <c r="M191" i="3"/>
  <c r="N191" i="3" s="1"/>
  <c r="O191" i="3" s="1"/>
  <c r="C191" i="3"/>
  <c r="M190" i="3"/>
  <c r="N190" i="3" s="1"/>
  <c r="O190" i="3" s="1"/>
  <c r="C190" i="3"/>
  <c r="M189" i="3"/>
  <c r="N189" i="3" s="1"/>
  <c r="O189" i="3" s="1"/>
  <c r="C189" i="3"/>
  <c r="M188" i="3"/>
  <c r="N188" i="3" s="1"/>
  <c r="O188" i="3" s="1"/>
  <c r="C188" i="3"/>
  <c r="M187" i="3"/>
  <c r="N187" i="3" s="1"/>
  <c r="O187" i="3" s="1"/>
  <c r="C187" i="3"/>
  <c r="M186" i="3"/>
  <c r="N186" i="3" s="1"/>
  <c r="O186" i="3" s="1"/>
  <c r="C186" i="3"/>
  <c r="M185" i="3"/>
  <c r="N185" i="3" s="1"/>
  <c r="O185" i="3" s="1"/>
  <c r="C185" i="3"/>
  <c r="M184" i="3"/>
  <c r="N184" i="3" s="1"/>
  <c r="O184" i="3" s="1"/>
  <c r="C184" i="3"/>
  <c r="M183" i="3"/>
  <c r="N183" i="3" s="1"/>
  <c r="O183" i="3" s="1"/>
  <c r="C183" i="3"/>
  <c r="M182" i="3"/>
  <c r="N182" i="3" s="1"/>
  <c r="O182" i="3" s="1"/>
  <c r="C182" i="3"/>
  <c r="M181" i="3"/>
  <c r="N181" i="3" s="1"/>
  <c r="O181" i="3" s="1"/>
  <c r="C181" i="3"/>
  <c r="M180" i="3"/>
  <c r="N180" i="3" s="1"/>
  <c r="O180" i="3" s="1"/>
  <c r="C180" i="3"/>
  <c r="M179" i="3"/>
  <c r="N179" i="3" s="1"/>
  <c r="O179" i="3" s="1"/>
  <c r="C179" i="3"/>
  <c r="M178" i="3"/>
  <c r="N178" i="3" s="1"/>
  <c r="O178" i="3" s="1"/>
  <c r="C178" i="3"/>
  <c r="M177" i="3"/>
  <c r="N177" i="3" s="1"/>
  <c r="O177" i="3" s="1"/>
  <c r="C177" i="3"/>
  <c r="M176" i="3"/>
  <c r="N176" i="3" s="1"/>
  <c r="O176" i="3" s="1"/>
  <c r="C176" i="3"/>
  <c r="M175" i="3"/>
  <c r="N175" i="3" s="1"/>
  <c r="O175" i="3" s="1"/>
  <c r="C175" i="3"/>
  <c r="M174" i="3"/>
  <c r="N174" i="3" s="1"/>
  <c r="O174" i="3" s="1"/>
  <c r="C174" i="3"/>
  <c r="M173" i="3"/>
  <c r="N173" i="3" s="1"/>
  <c r="O173" i="3" s="1"/>
  <c r="C145" i="3"/>
  <c r="M144" i="3"/>
  <c r="N144" i="3" s="1"/>
  <c r="O144" i="3" s="1"/>
  <c r="C144" i="3"/>
  <c r="M142" i="3"/>
  <c r="N142" i="3" s="1"/>
  <c r="O142" i="3" s="1"/>
  <c r="C173" i="3"/>
  <c r="M172" i="3"/>
  <c r="N172" i="3" s="1"/>
  <c r="O172" i="3" s="1"/>
  <c r="C172" i="3"/>
  <c r="M171" i="3"/>
  <c r="N171" i="3" s="1"/>
  <c r="O171" i="3" s="1"/>
  <c r="C171" i="3"/>
  <c r="M170" i="3"/>
  <c r="N170" i="3" s="1"/>
  <c r="O170" i="3" s="1"/>
  <c r="C170" i="3"/>
  <c r="M169" i="3"/>
  <c r="N169" i="3" s="1"/>
  <c r="O169" i="3" s="1"/>
  <c r="C169" i="3"/>
  <c r="M168" i="3"/>
  <c r="N168" i="3" s="1"/>
  <c r="O168" i="3" s="1"/>
  <c r="C168" i="3"/>
  <c r="M167" i="3"/>
  <c r="N167" i="3" s="1"/>
  <c r="O167" i="3" s="1"/>
  <c r="C167" i="3"/>
  <c r="M166" i="3"/>
  <c r="N166" i="3" s="1"/>
  <c r="O166" i="3" s="1"/>
  <c r="C166" i="3"/>
  <c r="M165" i="3"/>
  <c r="N165" i="3" s="1"/>
  <c r="O165" i="3" s="1"/>
  <c r="C165" i="3"/>
  <c r="M164" i="3"/>
  <c r="N164" i="3" s="1"/>
  <c r="O164" i="3" s="1"/>
  <c r="C164" i="3"/>
  <c r="M163" i="3"/>
  <c r="N163" i="3" s="1"/>
  <c r="O163" i="3" s="1"/>
  <c r="C163" i="3"/>
  <c r="M162" i="3"/>
  <c r="N162" i="3" s="1"/>
  <c r="O162" i="3" s="1"/>
  <c r="C162" i="3"/>
  <c r="M161" i="3"/>
  <c r="N161" i="3" s="1"/>
  <c r="O161" i="3" s="1"/>
  <c r="C161" i="3"/>
  <c r="M160" i="3"/>
  <c r="N160" i="3" s="1"/>
  <c r="O160" i="3" s="1"/>
  <c r="C160" i="3"/>
  <c r="M159" i="3"/>
  <c r="N159" i="3" s="1"/>
  <c r="O159" i="3" s="1"/>
  <c r="C159" i="3"/>
  <c r="M158" i="3"/>
  <c r="N158" i="3" s="1"/>
  <c r="O158" i="3" s="1"/>
  <c r="C158" i="3"/>
  <c r="M157" i="3"/>
  <c r="N157" i="3" s="1"/>
  <c r="O157" i="3" s="1"/>
  <c r="C157" i="3"/>
  <c r="M156" i="3"/>
  <c r="N156" i="3" s="1"/>
  <c r="O156" i="3" s="1"/>
  <c r="C156" i="3"/>
  <c r="M155" i="3"/>
  <c r="N155" i="3" s="1"/>
  <c r="O155" i="3" s="1"/>
  <c r="C155" i="3"/>
  <c r="M154" i="3"/>
  <c r="N154" i="3" s="1"/>
  <c r="O154" i="3" s="1"/>
  <c r="C154" i="3"/>
  <c r="M153" i="3"/>
  <c r="N153" i="3" s="1"/>
  <c r="O153" i="3" s="1"/>
  <c r="C153" i="3"/>
  <c r="M152" i="3"/>
  <c r="N152" i="3" s="1"/>
  <c r="O152" i="3" s="1"/>
  <c r="C152" i="3"/>
  <c r="M151" i="3"/>
  <c r="N151" i="3" s="1"/>
  <c r="O151" i="3" s="1"/>
  <c r="C151" i="3"/>
  <c r="M150" i="3"/>
  <c r="N150" i="3" s="1"/>
  <c r="O150" i="3" s="1"/>
  <c r="C150" i="3"/>
  <c r="M149" i="3"/>
  <c r="N149" i="3" s="1"/>
  <c r="O149" i="3" s="1"/>
  <c r="C149" i="3"/>
  <c r="M148" i="3"/>
  <c r="N148" i="3" s="1"/>
  <c r="O148" i="3" s="1"/>
  <c r="C148" i="3"/>
  <c r="M147" i="3"/>
  <c r="N147" i="3" s="1"/>
  <c r="O147" i="3" s="1"/>
  <c r="C147" i="3"/>
  <c r="M146" i="3"/>
  <c r="N146" i="3" s="1"/>
  <c r="O146" i="3" s="1"/>
  <c r="C146" i="3"/>
  <c r="M145" i="3"/>
  <c r="N145" i="3" s="1"/>
  <c r="O145" i="3" s="1"/>
  <c r="M143" i="3"/>
  <c r="N143" i="3" s="1"/>
  <c r="O143" i="3" s="1"/>
  <c r="C143" i="3"/>
  <c r="M141" i="3"/>
  <c r="N141" i="3" s="1"/>
  <c r="O141" i="3" s="1"/>
  <c r="C141" i="3"/>
  <c r="M140" i="3"/>
  <c r="N140" i="3" s="1"/>
  <c r="O140" i="3" s="1"/>
  <c r="C140" i="3"/>
  <c r="M139" i="3"/>
  <c r="N139" i="3" s="1"/>
  <c r="O139" i="3" s="1"/>
  <c r="C139" i="3"/>
  <c r="M138" i="3"/>
  <c r="N138" i="3" s="1"/>
  <c r="O138" i="3" s="1"/>
  <c r="C138" i="3"/>
  <c r="M137" i="3"/>
  <c r="N137" i="3" s="1"/>
  <c r="O137" i="3" s="1"/>
  <c r="C137" i="3"/>
  <c r="M136" i="3"/>
  <c r="N136" i="3" s="1"/>
  <c r="O136" i="3" s="1"/>
  <c r="C136" i="3"/>
  <c r="M135" i="3"/>
  <c r="N135" i="3" s="1"/>
  <c r="O135" i="3" s="1"/>
  <c r="C135" i="3"/>
  <c r="M134" i="3"/>
  <c r="N134" i="3" s="1"/>
  <c r="O134" i="3" s="1"/>
  <c r="C134" i="3"/>
  <c r="M133" i="3"/>
  <c r="N133" i="3" s="1"/>
  <c r="O133" i="3" s="1"/>
  <c r="C133" i="3"/>
  <c r="M132" i="3"/>
  <c r="N132" i="3" s="1"/>
  <c r="O132" i="3" s="1"/>
  <c r="C132" i="3"/>
  <c r="M131" i="3"/>
  <c r="N131" i="3" s="1"/>
  <c r="O131" i="3" s="1"/>
  <c r="C131" i="3"/>
  <c r="M130" i="3"/>
  <c r="N130" i="3" s="1"/>
  <c r="O130" i="3" s="1"/>
  <c r="C130" i="3"/>
  <c r="M129" i="3"/>
  <c r="N129" i="3" s="1"/>
  <c r="O129" i="3" s="1"/>
  <c r="C129" i="3"/>
  <c r="M128" i="3"/>
  <c r="N128" i="3" s="1"/>
  <c r="O128" i="3" s="1"/>
  <c r="M122" i="3"/>
  <c r="N122" i="3" s="1"/>
  <c r="O122" i="3" s="1"/>
  <c r="C120" i="3"/>
  <c r="M118" i="3"/>
  <c r="N118" i="3" s="1"/>
  <c r="O118" i="3" s="1"/>
  <c r="C118" i="3"/>
  <c r="M117" i="3"/>
  <c r="N117" i="3" s="1"/>
  <c r="O117" i="3" s="1"/>
  <c r="M116" i="3"/>
  <c r="N116" i="3" s="1"/>
  <c r="O116" i="3" s="1"/>
  <c r="M3" i="3"/>
  <c r="N3" i="3" s="1"/>
  <c r="O3" i="3" s="1"/>
  <c r="O412" i="3"/>
  <c r="M411" i="3"/>
  <c r="N411" i="3" s="1"/>
  <c r="O411" i="3" s="1"/>
  <c r="M407" i="3"/>
  <c r="N407" i="3" s="1"/>
  <c r="O407" i="3" s="1"/>
  <c r="M406" i="3"/>
  <c r="N406" i="3" s="1"/>
  <c r="O406" i="3" s="1"/>
  <c r="M405" i="3"/>
  <c r="N405" i="3" s="1"/>
  <c r="O405" i="3" s="1"/>
  <c r="M404" i="3"/>
  <c r="N404" i="3" s="1"/>
  <c r="O404" i="3" s="1"/>
  <c r="C404" i="3"/>
  <c r="M403" i="3"/>
  <c r="N403" i="3" s="1"/>
  <c r="O403" i="3" s="1"/>
  <c r="C116" i="3"/>
  <c r="M115" i="3"/>
  <c r="N115" i="3" s="1"/>
  <c r="O115" i="3" s="1"/>
  <c r="C115" i="3"/>
  <c r="M114" i="3"/>
  <c r="N114" i="3" s="1"/>
  <c r="O114" i="3" s="1"/>
  <c r="C114" i="3"/>
  <c r="M113" i="3"/>
  <c r="N113" i="3" s="1"/>
  <c r="O113" i="3" s="1"/>
  <c r="C113" i="3"/>
  <c r="M112" i="3"/>
  <c r="N112" i="3" s="1"/>
  <c r="O112" i="3" s="1"/>
  <c r="C112" i="3"/>
  <c r="M111" i="3"/>
  <c r="N111" i="3" s="1"/>
  <c r="O111" i="3" s="1"/>
  <c r="C111" i="3"/>
  <c r="M110" i="3"/>
  <c r="N110" i="3" s="1"/>
  <c r="O110" i="3" s="1"/>
  <c r="C110" i="3"/>
  <c r="M109" i="3"/>
  <c r="N109" i="3" s="1"/>
  <c r="O109" i="3" s="1"/>
  <c r="C109" i="3"/>
  <c r="M108" i="3"/>
  <c r="N108" i="3" s="1"/>
  <c r="O108" i="3" s="1"/>
  <c r="C108" i="3"/>
  <c r="M107" i="3"/>
  <c r="N107" i="3" s="1"/>
  <c r="O107" i="3" s="1"/>
  <c r="M106" i="3"/>
  <c r="N106" i="3" s="1"/>
  <c r="O106" i="3" s="1"/>
  <c r="C106" i="3"/>
  <c r="M105" i="3"/>
  <c r="N105" i="3" s="1"/>
  <c r="O105" i="3" s="1"/>
  <c r="C105" i="3"/>
  <c r="M104" i="3"/>
  <c r="N104" i="3" s="1"/>
  <c r="O104" i="3" s="1"/>
  <c r="C104" i="3"/>
  <c r="M103" i="3"/>
  <c r="N103" i="3" s="1"/>
  <c r="O103" i="3" s="1"/>
  <c r="C103" i="3"/>
  <c r="M102" i="3"/>
  <c r="N102" i="3" s="1"/>
  <c r="O102" i="3" s="1"/>
  <c r="C102" i="3"/>
  <c r="M101" i="3"/>
  <c r="N101" i="3" s="1"/>
  <c r="O101" i="3" s="1"/>
  <c r="C101" i="3"/>
  <c r="M100" i="3"/>
  <c r="N100" i="3" s="1"/>
  <c r="O100" i="3" s="1"/>
  <c r="C100" i="3"/>
  <c r="M99" i="3"/>
  <c r="N99" i="3" s="1"/>
  <c r="O99" i="3" s="1"/>
  <c r="C99" i="3"/>
  <c r="M98" i="3"/>
  <c r="N98" i="3" s="1"/>
  <c r="O98" i="3" s="1"/>
  <c r="C98" i="3"/>
  <c r="M97" i="3"/>
  <c r="N97" i="3" s="1"/>
  <c r="O97" i="3" s="1"/>
  <c r="C97" i="3"/>
  <c r="M96" i="3"/>
  <c r="N96" i="3" s="1"/>
  <c r="O96" i="3" s="1"/>
  <c r="C96" i="3"/>
  <c r="M95" i="3"/>
  <c r="N95" i="3" s="1"/>
  <c r="O95" i="3" s="1"/>
  <c r="C95" i="3"/>
  <c r="M94" i="3"/>
  <c r="N94" i="3" s="1"/>
  <c r="O94" i="3" s="1"/>
  <c r="C94" i="3"/>
  <c r="M93" i="3"/>
  <c r="N93" i="3" s="1"/>
  <c r="O93" i="3" s="1"/>
  <c r="C93" i="3"/>
  <c r="M92" i="3"/>
  <c r="N92" i="3" s="1"/>
  <c r="O92" i="3" s="1"/>
  <c r="C92" i="3"/>
  <c r="M91" i="3"/>
  <c r="N91" i="3" s="1"/>
  <c r="O91" i="3" s="1"/>
  <c r="C91" i="3"/>
  <c r="M90" i="3"/>
  <c r="N90" i="3" s="1"/>
  <c r="O90" i="3" s="1"/>
  <c r="C90" i="3"/>
  <c r="M89" i="3"/>
  <c r="N89" i="3" s="1"/>
  <c r="O89" i="3" s="1"/>
  <c r="C89" i="3"/>
  <c r="M88" i="3"/>
  <c r="N88" i="3" s="1"/>
  <c r="O88" i="3" s="1"/>
  <c r="C88" i="3"/>
  <c r="M87" i="3"/>
  <c r="N87" i="3" s="1"/>
  <c r="O87" i="3" s="1"/>
  <c r="C87" i="3"/>
  <c r="M86" i="3"/>
  <c r="N86" i="3" s="1"/>
  <c r="O86" i="3" s="1"/>
  <c r="C86" i="3"/>
  <c r="M85" i="3"/>
  <c r="N85" i="3" s="1"/>
  <c r="O85" i="3" s="1"/>
  <c r="C85" i="3"/>
  <c r="M84" i="3"/>
  <c r="N84" i="3" s="1"/>
  <c r="O84" i="3" s="1"/>
  <c r="C84" i="3"/>
  <c r="M83" i="3"/>
  <c r="N83" i="3" s="1"/>
  <c r="O83" i="3" s="1"/>
  <c r="C83" i="3"/>
  <c r="M82" i="3"/>
  <c r="N82" i="3" s="1"/>
  <c r="O82" i="3" s="1"/>
  <c r="C82" i="3"/>
  <c r="M81" i="3"/>
  <c r="N81" i="3" s="1"/>
  <c r="O81" i="3" s="1"/>
  <c r="C81" i="3"/>
  <c r="M80" i="3"/>
  <c r="N80" i="3" s="1"/>
  <c r="O80" i="3" s="1"/>
  <c r="C80" i="3"/>
  <c r="M79" i="3"/>
  <c r="N79" i="3" s="1"/>
  <c r="O79" i="3" s="1"/>
  <c r="C79" i="3"/>
  <c r="M78" i="3"/>
  <c r="N78" i="3" s="1"/>
  <c r="O78" i="3" s="1"/>
  <c r="C78" i="3"/>
  <c r="M77" i="3"/>
  <c r="N77" i="3" s="1"/>
  <c r="O77" i="3" s="1"/>
  <c r="C77" i="3"/>
  <c r="M76" i="3"/>
  <c r="N76" i="3" s="1"/>
  <c r="O76" i="3" s="1"/>
  <c r="C76" i="3"/>
  <c r="M75" i="3"/>
  <c r="N75" i="3" s="1"/>
  <c r="O75" i="3" s="1"/>
  <c r="C75" i="3"/>
  <c r="M74" i="3"/>
  <c r="N74" i="3" s="1"/>
  <c r="O74" i="3" s="1"/>
  <c r="C74" i="3"/>
  <c r="M73" i="3"/>
  <c r="N73" i="3" s="1"/>
  <c r="O73" i="3" s="1"/>
  <c r="C73" i="3"/>
  <c r="M72" i="3"/>
  <c r="N72" i="3" s="1"/>
  <c r="O72" i="3" s="1"/>
  <c r="C72" i="3"/>
  <c r="M71" i="3"/>
  <c r="N71" i="3" s="1"/>
  <c r="O71" i="3" s="1"/>
  <c r="C71" i="3"/>
  <c r="M70" i="3"/>
  <c r="N70" i="3" s="1"/>
  <c r="O70" i="3" s="1"/>
  <c r="C70" i="3"/>
  <c r="M69" i="3"/>
  <c r="N69" i="3" s="1"/>
  <c r="O69" i="3" s="1"/>
  <c r="C69" i="3"/>
  <c r="M68" i="3"/>
  <c r="N68" i="3" s="1"/>
  <c r="O68" i="3" s="1"/>
  <c r="C68" i="3"/>
  <c r="M67" i="3"/>
  <c r="N67" i="3" s="1"/>
  <c r="O67" i="3" s="1"/>
  <c r="C67" i="3"/>
  <c r="M66" i="3"/>
  <c r="N66" i="3" s="1"/>
  <c r="O66" i="3" s="1"/>
  <c r="C66" i="3"/>
  <c r="M65" i="3"/>
  <c r="N65" i="3" s="1"/>
  <c r="O65" i="3" s="1"/>
  <c r="C65" i="3"/>
  <c r="M64" i="3"/>
  <c r="N64" i="3" s="1"/>
  <c r="O64" i="3" s="1"/>
  <c r="C64" i="3"/>
  <c r="M63" i="3"/>
  <c r="N63" i="3" s="1"/>
  <c r="O63" i="3" s="1"/>
  <c r="C63" i="3"/>
  <c r="M62" i="3"/>
  <c r="N62" i="3" s="1"/>
  <c r="O62" i="3" s="1"/>
  <c r="C62" i="3"/>
  <c r="M61" i="3"/>
  <c r="N61" i="3" s="1"/>
  <c r="O61" i="3" s="1"/>
  <c r="C61" i="3"/>
  <c r="M60" i="3"/>
  <c r="N60" i="3" s="1"/>
  <c r="O60" i="3" s="1"/>
  <c r="C60" i="3"/>
  <c r="M59" i="3"/>
  <c r="N59" i="3" s="1"/>
  <c r="O59" i="3" s="1"/>
  <c r="C59" i="3"/>
  <c r="C4" i="3"/>
  <c r="C2" i="3"/>
  <c r="C412" i="3"/>
  <c r="M58" i="3"/>
  <c r="N58" i="3" s="1"/>
  <c r="O58" i="3" s="1"/>
  <c r="C58" i="3"/>
  <c r="M57" i="3"/>
  <c r="N57" i="3" s="1"/>
  <c r="O57" i="3" s="1"/>
  <c r="C57" i="3"/>
  <c r="M56" i="3"/>
  <c r="N56" i="3" s="1"/>
  <c r="O56" i="3" s="1"/>
  <c r="C56" i="3"/>
  <c r="M55" i="3"/>
  <c r="N55" i="3" s="1"/>
  <c r="O55" i="3" s="1"/>
  <c r="C55" i="3"/>
  <c r="M54" i="3"/>
  <c r="N54" i="3" s="1"/>
  <c r="O54" i="3" s="1"/>
  <c r="C54" i="3"/>
  <c r="M53" i="3"/>
  <c r="N53" i="3" s="1"/>
  <c r="O53" i="3" s="1"/>
  <c r="C53" i="3"/>
  <c r="M52" i="3"/>
  <c r="N52" i="3" s="1"/>
  <c r="O52" i="3" s="1"/>
  <c r="C52" i="3"/>
  <c r="M51" i="3"/>
  <c r="N51" i="3" s="1"/>
  <c r="O51" i="3" s="1"/>
  <c r="C51" i="3"/>
  <c r="M50" i="3"/>
  <c r="N50" i="3" s="1"/>
  <c r="O50" i="3" s="1"/>
  <c r="C50" i="3"/>
  <c r="M49" i="3"/>
  <c r="N49" i="3" s="1"/>
  <c r="O49" i="3" s="1"/>
  <c r="C49" i="3"/>
  <c r="M48" i="3"/>
  <c r="N48" i="3" s="1"/>
  <c r="O48" i="3" s="1"/>
  <c r="C48" i="3"/>
  <c r="M47" i="3"/>
  <c r="N47" i="3" s="1"/>
  <c r="O47" i="3" s="1"/>
  <c r="C47" i="3"/>
  <c r="M46" i="3"/>
  <c r="N46" i="3" s="1"/>
  <c r="O46" i="3" s="1"/>
  <c r="C46" i="3"/>
  <c r="M45" i="3"/>
  <c r="N45" i="3" s="1"/>
  <c r="O45" i="3" s="1"/>
  <c r="C45" i="3"/>
  <c r="M44" i="3"/>
  <c r="N44" i="3" s="1"/>
  <c r="O44" i="3" s="1"/>
  <c r="C44" i="3"/>
  <c r="M43" i="3"/>
  <c r="N43" i="3" s="1"/>
  <c r="O43" i="3" s="1"/>
  <c r="C43" i="3"/>
  <c r="M42" i="3"/>
  <c r="N42" i="3" s="1"/>
  <c r="O42" i="3" s="1"/>
  <c r="C42" i="3"/>
  <c r="M41" i="3"/>
  <c r="N41" i="3" s="1"/>
  <c r="O41" i="3" s="1"/>
  <c r="C41" i="3"/>
  <c r="M40" i="3"/>
  <c r="N40" i="3" s="1"/>
  <c r="O40" i="3" s="1"/>
  <c r="C40" i="3"/>
  <c r="M39" i="3"/>
  <c r="N39" i="3" s="1"/>
  <c r="O39" i="3" s="1"/>
  <c r="C39" i="3"/>
  <c r="M38" i="3"/>
  <c r="N38" i="3" s="1"/>
  <c r="O38" i="3" s="1"/>
  <c r="C38" i="3"/>
  <c r="M37" i="3"/>
  <c r="N37" i="3" s="1"/>
  <c r="O37" i="3" s="1"/>
  <c r="C37" i="3"/>
  <c r="M36" i="3"/>
  <c r="N36" i="3" s="1"/>
  <c r="O36" i="3" s="1"/>
  <c r="C36" i="3"/>
  <c r="M35" i="3"/>
  <c r="N35" i="3" s="1"/>
  <c r="O35" i="3" s="1"/>
  <c r="C35" i="3"/>
  <c r="M34" i="3"/>
  <c r="N34" i="3" s="1"/>
  <c r="O34" i="3" s="1"/>
  <c r="C34" i="3"/>
  <c r="M33" i="3"/>
  <c r="N33" i="3" s="1"/>
  <c r="O33" i="3" s="1"/>
  <c r="C33" i="3"/>
  <c r="M32" i="3"/>
  <c r="N32" i="3" s="1"/>
  <c r="O32" i="3" s="1"/>
  <c r="C32" i="3"/>
  <c r="M31" i="3"/>
  <c r="N31" i="3" s="1"/>
  <c r="O31" i="3" s="1"/>
  <c r="C31" i="3"/>
  <c r="M30" i="3"/>
  <c r="N30" i="3" s="1"/>
  <c r="O30" i="3" s="1"/>
  <c r="C30" i="3"/>
  <c r="M29" i="3"/>
  <c r="N29" i="3" s="1"/>
  <c r="O29" i="3" s="1"/>
  <c r="C29" i="3"/>
  <c r="M28" i="3"/>
  <c r="N28" i="3" s="1"/>
  <c r="O28" i="3" s="1"/>
  <c r="C28" i="3"/>
  <c r="M27" i="3"/>
  <c r="N27" i="3" s="1"/>
  <c r="O27" i="3" s="1"/>
  <c r="C27" i="3"/>
  <c r="M26" i="3"/>
  <c r="N26" i="3" s="1"/>
  <c r="O26" i="3" s="1"/>
  <c r="C26" i="3"/>
  <c r="M25" i="3"/>
  <c r="N25" i="3" s="1"/>
  <c r="O25" i="3" s="1"/>
  <c r="C25" i="3"/>
  <c r="M24" i="3"/>
  <c r="N24" i="3" s="1"/>
  <c r="O24" i="3" s="1"/>
  <c r="C24" i="3"/>
  <c r="M23" i="3"/>
  <c r="N23" i="3" s="1"/>
  <c r="O23" i="3" s="1"/>
  <c r="C23" i="3"/>
  <c r="M22" i="3"/>
  <c r="N22" i="3" s="1"/>
  <c r="O22" i="3" s="1"/>
  <c r="C22" i="3"/>
  <c r="M21" i="3"/>
  <c r="N21" i="3" s="1"/>
  <c r="O21" i="3" s="1"/>
  <c r="C21" i="3"/>
  <c r="M20" i="3"/>
  <c r="N20" i="3" s="1"/>
  <c r="O20" i="3" s="1"/>
  <c r="C20" i="3"/>
  <c r="M19" i="3"/>
  <c r="N19" i="3" s="1"/>
  <c r="O19" i="3" s="1"/>
  <c r="C19" i="3"/>
  <c r="M18" i="3"/>
  <c r="N18" i="3" s="1"/>
  <c r="O18" i="3" s="1"/>
  <c r="C18" i="3"/>
  <c r="M17" i="3"/>
  <c r="N17" i="3" s="1"/>
  <c r="O17" i="3" s="1"/>
  <c r="C17" i="3"/>
  <c r="M16" i="3"/>
  <c r="N16" i="3" s="1"/>
  <c r="O16" i="3" s="1"/>
  <c r="C16" i="3"/>
  <c r="M15" i="3"/>
  <c r="N15" i="3" s="1"/>
  <c r="O15" i="3" s="1"/>
  <c r="C15" i="3"/>
  <c r="M14" i="3"/>
  <c r="N14" i="3" s="1"/>
  <c r="O14" i="3" s="1"/>
  <c r="C14" i="3"/>
  <c r="M13" i="3"/>
  <c r="N13" i="3" s="1"/>
  <c r="O13" i="3" s="1"/>
  <c r="C13" i="3"/>
  <c r="M12" i="3"/>
  <c r="N12" i="3" s="1"/>
  <c r="O12" i="3" s="1"/>
  <c r="C12" i="3"/>
  <c r="M11" i="3"/>
  <c r="N11" i="3" s="1"/>
  <c r="O11" i="3" s="1"/>
  <c r="C11" i="3"/>
  <c r="M10" i="3"/>
  <c r="N10" i="3" s="1"/>
  <c r="O10" i="3" s="1"/>
  <c r="C10" i="3"/>
  <c r="M9" i="3"/>
  <c r="N9" i="3" s="1"/>
  <c r="O9" i="3" s="1"/>
  <c r="C9" i="3"/>
  <c r="M8" i="3"/>
  <c r="N8" i="3" s="1"/>
  <c r="O8" i="3" s="1"/>
  <c r="C8" i="3"/>
  <c r="M7" i="3"/>
  <c r="N7" i="3" s="1"/>
  <c r="O7" i="3" s="1"/>
  <c r="C7" i="3"/>
  <c r="M6" i="3"/>
  <c r="N6" i="3" s="1"/>
  <c r="O6" i="3" s="1"/>
  <c r="C6" i="3"/>
  <c r="M5" i="3"/>
  <c r="N5" i="3" s="1"/>
  <c r="O5" i="3" s="1"/>
  <c r="C5" i="3"/>
  <c r="M4" i="3"/>
  <c r="N4" i="3" s="1"/>
  <c r="O4" i="3" s="1"/>
  <c r="M2" i="3"/>
  <c r="N2" i="3" s="1"/>
  <c r="O2" i="3" s="1"/>
  <c r="M410" i="3"/>
  <c r="N410" i="3" s="1"/>
  <c r="O410" i="3" s="1"/>
  <c r="C410" i="3"/>
  <c r="N409" i="3"/>
  <c r="O409" i="3" s="1"/>
  <c r="B22" i="4" l="1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C44" i="4"/>
  <c r="B41" i="4"/>
  <c r="C39" i="4"/>
  <c r="C17" i="4"/>
  <c r="D17" i="4" s="1"/>
  <c r="C15" i="4"/>
  <c r="B9" i="4"/>
  <c r="C6" i="4"/>
  <c r="B42" i="4"/>
  <c r="B38" i="4"/>
  <c r="B16" i="4"/>
  <c r="C14" i="4"/>
  <c r="C8" i="4"/>
  <c r="B44" i="4"/>
  <c r="C42" i="4"/>
  <c r="B39" i="4"/>
  <c r="O294" i="3"/>
  <c r="O288" i="3"/>
  <c r="O237" i="3"/>
  <c r="B43" i="4"/>
  <c r="C41" i="4"/>
  <c r="B17" i="4"/>
  <c r="C9" i="4"/>
  <c r="B7" i="4"/>
  <c r="O234" i="3"/>
  <c r="O231" i="3"/>
  <c r="B47" i="4"/>
  <c r="C43" i="4"/>
  <c r="C38" i="4"/>
  <c r="C16" i="4"/>
  <c r="D16" i="4" s="1"/>
  <c r="B14" i="4"/>
  <c r="B8" i="4"/>
  <c r="C47" i="4"/>
  <c r="C7" i="4"/>
  <c r="D7" i="4" s="1"/>
  <c r="B6" i="4"/>
  <c r="B15" i="4"/>
  <c r="B34" i="4" l="1"/>
  <c r="A8" i="5"/>
  <c r="A9" i="5"/>
  <c r="C10" i="4"/>
  <c r="D6" i="4"/>
  <c r="C18" i="4"/>
  <c r="D18" i="4" s="1"/>
  <c r="D14" i="4"/>
  <c r="A6" i="5"/>
  <c r="B18" i="4"/>
  <c r="A5" i="5"/>
  <c r="A4" i="5"/>
  <c r="B10" i="4"/>
  <c r="D15" i="4"/>
  <c r="A10" i="5"/>
  <c r="D8" i="4"/>
  <c r="D9" i="4"/>
  <c r="C34" i="4"/>
  <c r="D34" i="4"/>
  <c r="D10" i="4" l="1"/>
  <c r="A11" i="5" s="1"/>
  <c r="C5" i="1"/>
  <c r="G5" i="1"/>
  <c r="A5" i="1"/>
  <c r="A7" i="5"/>
</calcChain>
</file>

<file path=xl/sharedStrings.xml><?xml version="1.0" encoding="utf-8"?>
<sst xmlns="http://schemas.openxmlformats.org/spreadsheetml/2006/main" count="2908" uniqueCount="958">
  <si>
    <t>RETAIL SALES &amp; OPERATIONS DASHBOARD</t>
  </si>
  <si>
    <t>FY 2024 | Source: Cleaned_Data | All figures in ₹</t>
  </si>
  <si>
    <t>Total Revenue</t>
  </si>
  <si>
    <t>Total Profit</t>
  </si>
  <si>
    <t>Total Orders</t>
  </si>
  <si>
    <t>Avg Order Value</t>
  </si>
  <si>
    <t>Order ID</t>
  </si>
  <si>
    <t>Order Date</t>
  </si>
  <si>
    <t>Customer Name</t>
  </si>
  <si>
    <t>Region</t>
  </si>
  <si>
    <t>Category</t>
  </si>
  <si>
    <t>Sub-Category</t>
  </si>
  <si>
    <t>Product</t>
  </si>
  <si>
    <t>Quantity</t>
  </si>
  <si>
    <t>Unit Price</t>
  </si>
  <si>
    <t>Cost Price</t>
  </si>
  <si>
    <t>Discount</t>
  </si>
  <si>
    <t>Sales</t>
  </si>
  <si>
    <t>24-Nov-2024</t>
  </si>
  <si>
    <t>VIKRAM RAO</t>
  </si>
  <si>
    <t xml:space="preserve">north </t>
  </si>
  <si>
    <t xml:space="preserve">  Electronics  </t>
  </si>
  <si>
    <t>Monitors</t>
  </si>
  <si>
    <t>ViewClear 24</t>
  </si>
  <si>
    <t>12/14/2024</t>
  </si>
  <si>
    <t>RIYA PATEL</t>
  </si>
  <si>
    <t>west</t>
  </si>
  <si>
    <t>furniture</t>
  </si>
  <si>
    <t>cabinets</t>
  </si>
  <si>
    <t>StorageMax Wood</t>
  </si>
  <si>
    <t>02/18/2024</t>
  </si>
  <si>
    <t>SIMRAN BHATT</t>
  </si>
  <si>
    <t>EAST</t>
  </si>
  <si>
    <t xml:space="preserve">electronics </t>
  </si>
  <si>
    <t>Keyboards</t>
  </si>
  <si>
    <t>GamerEdge RGB</t>
  </si>
  <si>
    <t>06/06/2024</t>
  </si>
  <si>
    <t xml:space="preserve">saanvi iyer </t>
  </si>
  <si>
    <t>NORTH</t>
  </si>
  <si>
    <t xml:space="preserve">furniture </t>
  </si>
  <si>
    <t xml:space="preserve">  Chairs  </t>
  </si>
  <si>
    <t>ClassicWood</t>
  </si>
  <si>
    <t>18-Dec-2024</t>
  </si>
  <si>
    <t>PRIYA KAPOOR</t>
  </si>
  <si>
    <t>SOUTH</t>
  </si>
  <si>
    <t>08/05/2024</t>
  </si>
  <si>
    <t>Kabir Nair</t>
  </si>
  <si>
    <t>south</t>
  </si>
  <si>
    <t xml:space="preserve">  Office Supplies  </t>
  </si>
  <si>
    <t>pens</t>
  </si>
  <si>
    <t>InkFlow Gel Pack5</t>
  </si>
  <si>
    <t>14-Nov-2024</t>
  </si>
  <si>
    <t>myra malhotra</t>
  </si>
  <si>
    <t xml:space="preserve">  South  </t>
  </si>
  <si>
    <t>Clothing</t>
  </si>
  <si>
    <t xml:space="preserve">t-shirts </t>
  </si>
  <si>
    <t>CottonBasic</t>
  </si>
  <si>
    <t>01/31/2024</t>
  </si>
  <si>
    <t xml:space="preserve">pooja reddy </t>
  </si>
  <si>
    <t>North</t>
  </si>
  <si>
    <t>STAPLERS</t>
  </si>
  <si>
    <t>ClickFix Standard</t>
  </si>
  <si>
    <t>06/29/2024</t>
  </si>
  <si>
    <t>ARJUN VERMA</t>
  </si>
  <si>
    <t>East</t>
  </si>
  <si>
    <t>Furniture</t>
  </si>
  <si>
    <t>Chairs</t>
  </si>
  <si>
    <t>MeshFlex Pro</t>
  </si>
  <si>
    <t>31-Jul-2024</t>
  </si>
  <si>
    <t>Meera Shah</t>
  </si>
  <si>
    <t>FileSafe Steel</t>
  </si>
  <si>
    <t>08-Sep-2024</t>
  </si>
  <si>
    <t>AARAV GUPTA</t>
  </si>
  <si>
    <t>WEST</t>
  </si>
  <si>
    <t>electronics</t>
  </si>
  <si>
    <t xml:space="preserve">  Headphones  </t>
  </si>
  <si>
    <t>SoundMax Pro</t>
  </si>
  <si>
    <t>16-Oct-2024</t>
  </si>
  <si>
    <t>NIKHIL DAS</t>
  </si>
  <si>
    <t>east</t>
  </si>
  <si>
    <t>clothing</t>
  </si>
  <si>
    <t xml:space="preserve">  Jackets  </t>
  </si>
  <si>
    <t>WinterGuard</t>
  </si>
  <si>
    <t>08-Feb-2024</t>
  </si>
  <si>
    <t>sai shah</t>
  </si>
  <si>
    <t>Electronics</t>
  </si>
  <si>
    <t>laptops</t>
  </si>
  <si>
    <t>UltraSlim X1</t>
  </si>
  <si>
    <t>08/07/2024</t>
  </si>
  <si>
    <t>pranav verma</t>
  </si>
  <si>
    <t>ProBook 14</t>
  </si>
  <si>
    <t xml:space="preserve">  Tanvi Kapoor  </t>
  </si>
  <si>
    <t>West</t>
  </si>
  <si>
    <t>FURNITURE</t>
  </si>
  <si>
    <t>Desks</t>
  </si>
  <si>
    <t>CornerFit Desk</t>
  </si>
  <si>
    <t>04-Jul-2024</t>
  </si>
  <si>
    <t xml:space="preserve">vikram bhatt </t>
  </si>
  <si>
    <t xml:space="preserve">  North  </t>
  </si>
  <si>
    <t>chairs</t>
  </si>
  <si>
    <t>11-Aug-2024</t>
  </si>
  <si>
    <t>AARAV BOSE</t>
  </si>
  <si>
    <t xml:space="preserve">  East  </t>
  </si>
  <si>
    <t xml:space="preserve">  Furniture  </t>
  </si>
  <si>
    <t>BOOKSHELVES</t>
  </si>
  <si>
    <t>MetalFrame Open</t>
  </si>
  <si>
    <t>09/23/2024</t>
  </si>
  <si>
    <t>sneha pillai</t>
  </si>
  <si>
    <t xml:space="preserve">east </t>
  </si>
  <si>
    <t>HEADPHONES</t>
  </si>
  <si>
    <t>BassBeat Mini</t>
  </si>
  <si>
    <t>06/07/2024</t>
  </si>
  <si>
    <t>POOJA DAS</t>
  </si>
  <si>
    <t>18-Jul-2024</t>
  </si>
  <si>
    <t>ISHAAN GUPTA</t>
  </si>
  <si>
    <t xml:space="preserve">  Bookshelves  </t>
  </si>
  <si>
    <t>WoodCraft 5-Tier</t>
  </si>
  <si>
    <t>01/29/2024</t>
  </si>
  <si>
    <t xml:space="preserve">  Sai Nair  </t>
  </si>
  <si>
    <t>26-Jul-2024</t>
  </si>
  <si>
    <t>Riya Reddy</t>
  </si>
  <si>
    <t>South</t>
  </si>
  <si>
    <t>07/11/2024</t>
  </si>
  <si>
    <t xml:space="preserve">yash gupta </t>
  </si>
  <si>
    <t>Office Supplies</t>
  </si>
  <si>
    <t xml:space="preserve">  Staplers  </t>
  </si>
  <si>
    <t>01/04/2024</t>
  </si>
  <si>
    <t>SAANVI KAPOOR</t>
  </si>
  <si>
    <t>ELECTRONICS</t>
  </si>
  <si>
    <t>MONITORS</t>
  </si>
  <si>
    <t>06/20/2024</t>
  </si>
  <si>
    <t>priya singh</t>
  </si>
  <si>
    <t>headphones</t>
  </si>
  <si>
    <t>10/19/2024</t>
  </si>
  <si>
    <t>MYRA SHAH</t>
  </si>
  <si>
    <t>05/17/2024</t>
  </si>
  <si>
    <t>ADITYA NAIR</t>
  </si>
  <si>
    <t>CLOTHING</t>
  </si>
  <si>
    <t>RainShield Pro</t>
  </si>
  <si>
    <t>08-Jul-2024</t>
  </si>
  <si>
    <t>Manoj Sharma</t>
  </si>
  <si>
    <t>Bags</t>
  </si>
  <si>
    <t>CityCarry Backpack</t>
  </si>
  <si>
    <t>11/17/2024</t>
  </si>
  <si>
    <t xml:space="preserve">  Aman Bose  </t>
  </si>
  <si>
    <t>Headphones</t>
  </si>
  <si>
    <t>16-Sep-2024</t>
  </si>
  <si>
    <t>riya bose</t>
  </si>
  <si>
    <t xml:space="preserve">  Clothing  </t>
  </si>
  <si>
    <t>SHOES</t>
  </si>
  <si>
    <t>WalkEase Casual</t>
  </si>
  <si>
    <t>09/15/2024</t>
  </si>
  <si>
    <t>Vivaan Iyer</t>
  </si>
  <si>
    <t>Jackets</t>
  </si>
  <si>
    <t>neha nair</t>
  </si>
  <si>
    <t xml:space="preserve">west </t>
  </si>
  <si>
    <t>T-Shirts</t>
  </si>
  <si>
    <t>ActiveDry Sport</t>
  </si>
  <si>
    <t>02/21/2024</t>
  </si>
  <si>
    <t>kabir bose</t>
  </si>
  <si>
    <t xml:space="preserve">  West  </t>
  </si>
  <si>
    <t>Arjun Gupta</t>
  </si>
  <si>
    <t>08/23/2024</t>
  </si>
  <si>
    <t>Aman Chopra</t>
  </si>
  <si>
    <t>ADITYA AGARWAL</t>
  </si>
  <si>
    <t xml:space="preserve">monitors </t>
  </si>
  <si>
    <t>CurveTech 32</t>
  </si>
  <si>
    <t>09/21/2024</t>
  </si>
  <si>
    <t>Aarav Rao</t>
  </si>
  <si>
    <t>10/09/2024</t>
  </si>
  <si>
    <t>Yash Nair</t>
  </si>
  <si>
    <t xml:space="preserve">bookshelves </t>
  </si>
  <si>
    <t>06/26/2024</t>
  </si>
  <si>
    <t>diya joshi</t>
  </si>
  <si>
    <t>PAPER</t>
  </si>
  <si>
    <t>CopyMax A4 Ream</t>
  </si>
  <si>
    <t>01/03/2024</t>
  </si>
  <si>
    <t xml:space="preserve">  Arjun Malhotra  </t>
  </si>
  <si>
    <t>jackets</t>
  </si>
  <si>
    <t>12/07/2024</t>
  </si>
  <si>
    <t>ISHAAN SHAH</t>
  </si>
  <si>
    <t>office supplies</t>
  </si>
  <si>
    <t xml:space="preserve">  Binders  </t>
  </si>
  <si>
    <t>ClampBind Pro</t>
  </si>
  <si>
    <t>23-Jan-2024</t>
  </si>
  <si>
    <t xml:space="preserve">riya verma </t>
  </si>
  <si>
    <t>05/31/2024</t>
  </si>
  <si>
    <t xml:space="preserve">ishaan gupta </t>
  </si>
  <si>
    <t>OFFICE SUPPLIES</t>
  </si>
  <si>
    <t>26-Oct-2024</t>
  </si>
  <si>
    <t>aman pillai</t>
  </si>
  <si>
    <t>08-Mar-2024</t>
  </si>
  <si>
    <t xml:space="preserve">rahul gupta </t>
  </si>
  <si>
    <t>StudioFit</t>
  </si>
  <si>
    <t>22-Oct-2024</t>
  </si>
  <si>
    <t>Aadhya Singh</t>
  </si>
  <si>
    <t>T-SHIRTS</t>
  </si>
  <si>
    <t>07/31/2024</t>
  </si>
  <si>
    <t>POOJA SHAH</t>
  </si>
  <si>
    <t>binders</t>
  </si>
  <si>
    <t>RingFile A4</t>
  </si>
  <si>
    <t>03/16/2024</t>
  </si>
  <si>
    <t xml:space="preserve">meera joshi </t>
  </si>
  <si>
    <t>05/22/2024</t>
  </si>
  <si>
    <t>simran shah</t>
  </si>
  <si>
    <t>Paper</t>
  </si>
  <si>
    <t>PrintPro A4 Ream</t>
  </si>
  <si>
    <t>08/21/2024</t>
  </si>
  <si>
    <t>Aman Verma</t>
  </si>
  <si>
    <t>north</t>
  </si>
  <si>
    <t xml:space="preserve">clothing </t>
  </si>
  <si>
    <t>BAGS</t>
  </si>
  <si>
    <t>15-Feb-2024</t>
  </si>
  <si>
    <t xml:space="preserve">  Manoj Patel  </t>
  </si>
  <si>
    <t>Bookshelves</t>
  </si>
  <si>
    <t>29-Dec-2024</t>
  </si>
  <si>
    <t>yash gupta</t>
  </si>
  <si>
    <t>06/18/2024</t>
  </si>
  <si>
    <t>KIARA KAPOOR</t>
  </si>
  <si>
    <t>16-Mar-2024</t>
  </si>
  <si>
    <t>KABIR PILLAI</t>
  </si>
  <si>
    <t>TravelMax Duffel</t>
  </si>
  <si>
    <t>Manoj Gupta</t>
  </si>
  <si>
    <t>Cabinets</t>
  </si>
  <si>
    <t>24-Apr-2024</t>
  </si>
  <si>
    <t>AADHYA SINGH</t>
  </si>
  <si>
    <t>LAPTOPS</t>
  </si>
  <si>
    <t>14-Sep-2024</t>
  </si>
  <si>
    <t xml:space="preserve">rohan reddy </t>
  </si>
  <si>
    <t>WideView 27</t>
  </si>
  <si>
    <t>08/29/2024</t>
  </si>
  <si>
    <t>priya shah</t>
  </si>
  <si>
    <t xml:space="preserve">office supplies </t>
  </si>
  <si>
    <t>04/13/2024</t>
  </si>
  <si>
    <t>Vikram Mehta</t>
  </si>
  <si>
    <t xml:space="preserve">  Shoes  </t>
  </si>
  <si>
    <t>11/07/2024</t>
  </si>
  <si>
    <t xml:space="preserve">priya patel </t>
  </si>
  <si>
    <t>03/26/2024</t>
  </si>
  <si>
    <t>pooja pillai</t>
  </si>
  <si>
    <t>11/24/2024</t>
  </si>
  <si>
    <t>YASH SHAH</t>
  </si>
  <si>
    <t xml:space="preserve">keyboards </t>
  </si>
  <si>
    <t>ClickType Mech</t>
  </si>
  <si>
    <t>10/29/2024</t>
  </si>
  <si>
    <t>Meera Bhatt</t>
  </si>
  <si>
    <t>shoes</t>
  </si>
  <si>
    <t>09/05/2024</t>
  </si>
  <si>
    <t>Kiara Chopra</t>
  </si>
  <si>
    <t>01/23/2024</t>
  </si>
  <si>
    <t>sai bose</t>
  </si>
  <si>
    <t>03-Aug-2024</t>
  </si>
  <si>
    <t>manoj bhatt</t>
  </si>
  <si>
    <t>KEYBOARDS</t>
  </si>
  <si>
    <t>SilentBoard</t>
  </si>
  <si>
    <t>09-Jan-2024</t>
  </si>
  <si>
    <t xml:space="preserve">kabir shah </t>
  </si>
  <si>
    <t>17-Jul-2024</t>
  </si>
  <si>
    <t xml:space="preserve">  Tanvi Gupta  </t>
  </si>
  <si>
    <t>14-Jul-2024</t>
  </si>
  <si>
    <t xml:space="preserve">neha bose </t>
  </si>
  <si>
    <t xml:space="preserve">binders </t>
  </si>
  <si>
    <t>04-Dec-2024</t>
  </si>
  <si>
    <t>Aadhya Bose</t>
  </si>
  <si>
    <t>RunFast Sport</t>
  </si>
  <si>
    <t>27-Feb-2024</t>
  </si>
  <si>
    <t>Aditya Rao</t>
  </si>
  <si>
    <t>12/02/2024</t>
  </si>
  <si>
    <t>SNEHA MEHTA</t>
  </si>
  <si>
    <t>25-Sep-2024</t>
  </si>
  <si>
    <t>Sneha Joshi</t>
  </si>
  <si>
    <t>24-Feb-2024</t>
  </si>
  <si>
    <t>myra rao</t>
  </si>
  <si>
    <t xml:space="preserve">  T-Shirts  </t>
  </si>
  <si>
    <t>08/22/2024</t>
  </si>
  <si>
    <t>Neha Bhatt</t>
  </si>
  <si>
    <t>desks</t>
  </si>
  <si>
    <t>CompactWork</t>
  </si>
  <si>
    <t>01/07/2024</t>
  </si>
  <si>
    <t>SAI PATEL</t>
  </si>
  <si>
    <t>30-Aug-2024</t>
  </si>
  <si>
    <t>Yash Kapoor</t>
  </si>
  <si>
    <t>04/14/2024</t>
  </si>
  <si>
    <t>pooja gupta</t>
  </si>
  <si>
    <t xml:space="preserve">  Cabinets  </t>
  </si>
  <si>
    <t>Kabir Joshi</t>
  </si>
  <si>
    <t>02/16/2024</t>
  </si>
  <si>
    <t>manoj mehta</t>
  </si>
  <si>
    <t>19-Aug-2024</t>
  </si>
  <si>
    <t xml:space="preserve">  Kiara Agarwal  </t>
  </si>
  <si>
    <t>17-Sep-2024</t>
  </si>
  <si>
    <t>Saanvi Chopra</t>
  </si>
  <si>
    <t xml:space="preserve">headphones </t>
  </si>
  <si>
    <t>24-May-2024</t>
  </si>
  <si>
    <t>diya gupta</t>
  </si>
  <si>
    <t>monitors</t>
  </si>
  <si>
    <t>22-Dec-2024</t>
  </si>
  <si>
    <t>manoj rao</t>
  </si>
  <si>
    <t>Binders</t>
  </si>
  <si>
    <t>17-Feb-2024</t>
  </si>
  <si>
    <t xml:space="preserve">  Priya Kapoor  </t>
  </si>
  <si>
    <t xml:space="preserve">desks </t>
  </si>
  <si>
    <t>StudyMax L</t>
  </si>
  <si>
    <t>08/20/2024</t>
  </si>
  <si>
    <t>Aman Bose</t>
  </si>
  <si>
    <t>26-Apr-2024</t>
  </si>
  <si>
    <t>yash joshi</t>
  </si>
  <si>
    <t>03/27/2024</t>
  </si>
  <si>
    <t>Aditya Nair</t>
  </si>
  <si>
    <t>paper</t>
  </si>
  <si>
    <t>12/21/2024</t>
  </si>
  <si>
    <t>Nikhil Patel</t>
  </si>
  <si>
    <t>09/24/2024</t>
  </si>
  <si>
    <t>ISHAAN MEHTA</t>
  </si>
  <si>
    <t>12-Oct-2024</t>
  </si>
  <si>
    <t xml:space="preserve">  Vikram Rao  </t>
  </si>
  <si>
    <t xml:space="preserve">saanvi gupta </t>
  </si>
  <si>
    <t>bags</t>
  </si>
  <si>
    <t>21-Aug-2024</t>
  </si>
  <si>
    <t xml:space="preserve">  Nikhil Patel  </t>
  </si>
  <si>
    <t>SAANVI VERMA</t>
  </si>
  <si>
    <t>Staplers</t>
  </si>
  <si>
    <t>HeavyDuty Pro</t>
  </si>
  <si>
    <t>09-Sep-2024</t>
  </si>
  <si>
    <t>Tanvi Rao</t>
  </si>
  <si>
    <t>PENS</t>
  </si>
  <si>
    <t>08/02/2024</t>
  </si>
  <si>
    <t>Sneha Rao</t>
  </si>
  <si>
    <t>03-Mar-2024</t>
  </si>
  <si>
    <t>AMAN CHOPRA</t>
  </si>
  <si>
    <t>08-May-2024</t>
  </si>
  <si>
    <t xml:space="preserve">  Aarav Reddy  </t>
  </si>
  <si>
    <t>03/29/2024</t>
  </si>
  <si>
    <t xml:space="preserve">  Aditya Kapoor  </t>
  </si>
  <si>
    <t>JACKETS</t>
  </si>
  <si>
    <t>08/01/2024</t>
  </si>
  <si>
    <t xml:space="preserve">  Rahul Agarwal  </t>
  </si>
  <si>
    <t xml:space="preserve">south </t>
  </si>
  <si>
    <t>WriteSmooth Pack10</t>
  </si>
  <si>
    <t>02/15/2024</t>
  </si>
  <si>
    <t>Priya Pillai</t>
  </si>
  <si>
    <t>30-Jun-2024</t>
  </si>
  <si>
    <t>saanvi pillai</t>
  </si>
  <si>
    <t>EcoBook Air</t>
  </si>
  <si>
    <t>10/24/2024</t>
  </si>
  <si>
    <t>SIMRAN AGARWAL</t>
  </si>
  <si>
    <t>16-May-2024</t>
  </si>
  <si>
    <t>NIKHIL MALHOTRA</t>
  </si>
  <si>
    <t>18-Sep-2024</t>
  </si>
  <si>
    <t>DIYA NAIR</t>
  </si>
  <si>
    <t>staplers</t>
  </si>
  <si>
    <t>neha mehta</t>
  </si>
  <si>
    <t xml:space="preserve">  Desks  </t>
  </si>
  <si>
    <t>11/16/2024</t>
  </si>
  <si>
    <t>Rahul Sharma</t>
  </si>
  <si>
    <t>Simran Bhatt</t>
  </si>
  <si>
    <t>02-Jan-2024</t>
  </si>
  <si>
    <t>KARAN KAPOOR</t>
  </si>
  <si>
    <t>09/18/2024</t>
  </si>
  <si>
    <t>karan agarwal</t>
  </si>
  <si>
    <t>03/17/2024</t>
  </si>
  <si>
    <t>KABIR NAIR</t>
  </si>
  <si>
    <t>09/11/2024</t>
  </si>
  <si>
    <t>Pooja Malhotra</t>
  </si>
  <si>
    <t>05/25/2024</t>
  </si>
  <si>
    <t xml:space="preserve">  Karan Iyer  </t>
  </si>
  <si>
    <t>10-Mar-2024</t>
  </si>
  <si>
    <t>ananya gupta</t>
  </si>
  <si>
    <t xml:space="preserve">  Keyboards  </t>
  </si>
  <si>
    <t>22-Jan-2024</t>
  </si>
  <si>
    <t>Manoj Nair</t>
  </si>
  <si>
    <t>CHAIRS</t>
  </si>
  <si>
    <t>10-Jun-2024</t>
  </si>
  <si>
    <t>Meera Gupta</t>
  </si>
  <si>
    <t>29-May-2024</t>
  </si>
  <si>
    <t>Aarav Mehta</t>
  </si>
  <si>
    <t>03/24/2024</t>
  </si>
  <si>
    <t>manoj joshi</t>
  </si>
  <si>
    <t>CABINETS</t>
  </si>
  <si>
    <t>meera nair</t>
  </si>
  <si>
    <t>05/06/2024</t>
  </si>
  <si>
    <t>10/12/2024</t>
  </si>
  <si>
    <t>Karan Shah</t>
  </si>
  <si>
    <t>29-Sep-2024</t>
  </si>
  <si>
    <t xml:space="preserve">  Vikram Shah  </t>
  </si>
  <si>
    <t>10/02/2024</t>
  </si>
  <si>
    <t>Priya Mehta</t>
  </si>
  <si>
    <t>25-Mar-2024</t>
  </si>
  <si>
    <t>aman rao</t>
  </si>
  <si>
    <t>08-Dec-2024</t>
  </si>
  <si>
    <t>Aman Sharma</t>
  </si>
  <si>
    <t>02/02/2024</t>
  </si>
  <si>
    <t xml:space="preserve">  Sneha Sharma  </t>
  </si>
  <si>
    <t>Pens</t>
  </si>
  <si>
    <t>01/05/2024</t>
  </si>
  <si>
    <t xml:space="preserve">arjun agarwal </t>
  </si>
  <si>
    <t>30-Dec-2024</t>
  </si>
  <si>
    <t>08-Aug-2024</t>
  </si>
  <si>
    <t xml:space="preserve">  Ananya Patel  </t>
  </si>
  <si>
    <t>03-Jun-2024</t>
  </si>
  <si>
    <t>VIVAAN JOSHI</t>
  </si>
  <si>
    <t xml:space="preserve">  Pens  </t>
  </si>
  <si>
    <t>30-Apr-2024</t>
  </si>
  <si>
    <t>Tanvi Singh</t>
  </si>
  <si>
    <t>05/09/2024</t>
  </si>
  <si>
    <t>Pooja Das</t>
  </si>
  <si>
    <t>09/30/2024</t>
  </si>
  <si>
    <t>06-Jun-2024</t>
  </si>
  <si>
    <t xml:space="preserve">  Tanvi Shah  </t>
  </si>
  <si>
    <t>BINDERS</t>
  </si>
  <si>
    <t>23-Feb-2024</t>
  </si>
  <si>
    <t xml:space="preserve">aarav iyer </t>
  </si>
  <si>
    <t xml:space="preserve">  Laptops  </t>
  </si>
  <si>
    <t xml:space="preserve">rahul mehta </t>
  </si>
  <si>
    <t>06/09/2024</t>
  </si>
  <si>
    <t>ADITYA CHOPRA</t>
  </si>
  <si>
    <t>21-Jan-2024</t>
  </si>
  <si>
    <t xml:space="preserve">karan reddy </t>
  </si>
  <si>
    <t>Laptops</t>
  </si>
  <si>
    <t>02/22/2024</t>
  </si>
  <si>
    <t>Pranav Shah</t>
  </si>
  <si>
    <t>07/22/2024</t>
  </si>
  <si>
    <t>MYRA PATEL</t>
  </si>
  <si>
    <t>06/01/2024</t>
  </si>
  <si>
    <t>Nikhil Bose</t>
  </si>
  <si>
    <t>26-Dec-2024</t>
  </si>
  <si>
    <t>TANVI MALHOTRA</t>
  </si>
  <si>
    <t>Aditya Chopra</t>
  </si>
  <si>
    <t>kabir gupta</t>
  </si>
  <si>
    <t>06/27/2024</t>
  </si>
  <si>
    <t>Nikhil Kapoor</t>
  </si>
  <si>
    <t>12/23/2024</t>
  </si>
  <si>
    <t>Vikram Nair</t>
  </si>
  <si>
    <t>12/03/2024</t>
  </si>
  <si>
    <t>priya das</t>
  </si>
  <si>
    <t>keyboards</t>
  </si>
  <si>
    <t xml:space="preserve">ishaan nair </t>
  </si>
  <si>
    <t xml:space="preserve">bags </t>
  </si>
  <si>
    <t>24-Sep-2024</t>
  </si>
  <si>
    <t xml:space="preserve">  Kiara Chopra  </t>
  </si>
  <si>
    <t>03/12/2024</t>
  </si>
  <si>
    <t>diya bose</t>
  </si>
  <si>
    <t>22-Feb-2024</t>
  </si>
  <si>
    <t>08/19/2024</t>
  </si>
  <si>
    <t>Myra Sharma</t>
  </si>
  <si>
    <t>08/17/2024</t>
  </si>
  <si>
    <t>sneha malhotra</t>
  </si>
  <si>
    <t>12-Mar-2024</t>
  </si>
  <si>
    <t>pooja malhotra</t>
  </si>
  <si>
    <t>20-Aug-2024</t>
  </si>
  <si>
    <t>YASH CHOPRA</t>
  </si>
  <si>
    <t xml:space="preserve">cabinets </t>
  </si>
  <si>
    <t>26-Jan-2024</t>
  </si>
  <si>
    <t>ANANYA VERMA</t>
  </si>
  <si>
    <t>01/25/2024</t>
  </si>
  <si>
    <t>Rahul Iyer</t>
  </si>
  <si>
    <t>04/07/2024</t>
  </si>
  <si>
    <t>YASH BHATT</t>
  </si>
  <si>
    <t>31-May-2024</t>
  </si>
  <si>
    <t>Kabir Rao</t>
  </si>
  <si>
    <t>11/14/2024</t>
  </si>
  <si>
    <t>KIARA GUPTA</t>
  </si>
  <si>
    <t>manoj chopra</t>
  </si>
  <si>
    <t xml:space="preserve">  Bags  </t>
  </si>
  <si>
    <t>29-Jun-2024</t>
  </si>
  <si>
    <t>VIVAAN SINGH</t>
  </si>
  <si>
    <t>RIYA GUPTA</t>
  </si>
  <si>
    <t>19-Mar-2024</t>
  </si>
  <si>
    <t>Pooja Bose</t>
  </si>
  <si>
    <t>06/12/2024</t>
  </si>
  <si>
    <t>KABIR MALHOTRA</t>
  </si>
  <si>
    <t>03/30/2024</t>
  </si>
  <si>
    <t>SNEHA BOSE</t>
  </si>
  <si>
    <t>09/20/2024</t>
  </si>
  <si>
    <t>aman sharma</t>
  </si>
  <si>
    <t>20-Nov-2024</t>
  </si>
  <si>
    <t>POOJA SHARMA</t>
  </si>
  <si>
    <t>02-Apr-2024</t>
  </si>
  <si>
    <t xml:space="preserve">  Nikhil Malhotra  </t>
  </si>
  <si>
    <t>03/18/2024</t>
  </si>
  <si>
    <t xml:space="preserve">myra agarwal </t>
  </si>
  <si>
    <t>Priya Reddy</t>
  </si>
  <si>
    <t xml:space="preserve">  Aman Sharma  </t>
  </si>
  <si>
    <t>AMAN SINGH</t>
  </si>
  <si>
    <t>Shoes</t>
  </si>
  <si>
    <t>30-Mar-2024</t>
  </si>
  <si>
    <t>Rahul Rao</t>
  </si>
  <si>
    <t>02/29/2024</t>
  </si>
  <si>
    <t>YASH MEHTA</t>
  </si>
  <si>
    <t xml:space="preserve">  Kabir Sharma  </t>
  </si>
  <si>
    <t>09/08/2024</t>
  </si>
  <si>
    <t>neha verma</t>
  </si>
  <si>
    <t>11/27/2024</t>
  </si>
  <si>
    <t>Aditya Agarwal</t>
  </si>
  <si>
    <t>kabir singh</t>
  </si>
  <si>
    <t>27-May-2024</t>
  </si>
  <si>
    <t>Sai Kapoor</t>
  </si>
  <si>
    <t>26-Aug-2024</t>
  </si>
  <si>
    <t>ADITYA KAPOOR</t>
  </si>
  <si>
    <t>03/09/2024</t>
  </si>
  <si>
    <t>KIARA PATEL</t>
  </si>
  <si>
    <t>myra chopra</t>
  </si>
  <si>
    <t>12-Sep-2024</t>
  </si>
  <si>
    <t xml:space="preserve">  Rohan Singh  </t>
  </si>
  <si>
    <t>Meera Agarwal</t>
  </si>
  <si>
    <t>08-Oct-2024</t>
  </si>
  <si>
    <t>02/28/2024</t>
  </si>
  <si>
    <t xml:space="preserve">  Aditya Chopra  </t>
  </si>
  <si>
    <t>10/26/2024</t>
  </si>
  <si>
    <t>Arjun Agarwal</t>
  </si>
  <si>
    <t>21-Apr-2024</t>
  </si>
  <si>
    <t>MEERA DAS</t>
  </si>
  <si>
    <t>02/12/2024</t>
  </si>
  <si>
    <t>nikhil singh</t>
  </si>
  <si>
    <t>25-Nov-2024</t>
  </si>
  <si>
    <t>rohan bose</t>
  </si>
  <si>
    <t xml:space="preserve">karan sharma </t>
  </si>
  <si>
    <t>07/19/2024</t>
  </si>
  <si>
    <t>kabir verma</t>
  </si>
  <si>
    <t>02/10/2024</t>
  </si>
  <si>
    <t xml:space="preserve">neha das </t>
  </si>
  <si>
    <t>19-May-2024</t>
  </si>
  <si>
    <t xml:space="preserve">  Kabir Singh  </t>
  </si>
  <si>
    <t>02-Dec-2024</t>
  </si>
  <si>
    <t>Ishaan Bose</t>
  </si>
  <si>
    <t>02/03/2024</t>
  </si>
  <si>
    <t xml:space="preserve">  Rahul Malhotra  </t>
  </si>
  <si>
    <t>04-Feb-2024</t>
  </si>
  <si>
    <t>Nikhil Mehta</t>
  </si>
  <si>
    <t>11/23/2024</t>
  </si>
  <si>
    <t>VIVAAN MALHOTRA</t>
  </si>
  <si>
    <t>yash nair</t>
  </si>
  <si>
    <t>09/28/2024</t>
  </si>
  <si>
    <t>simran verma</t>
  </si>
  <si>
    <t>01/30/2024</t>
  </si>
  <si>
    <t>DESKS</t>
  </si>
  <si>
    <t>TANVI GUPTA</t>
  </si>
  <si>
    <t>11/01/2024</t>
  </si>
  <si>
    <t>MEERA PATEL</t>
  </si>
  <si>
    <t>bookshelves</t>
  </si>
  <si>
    <t>Vikram Singh</t>
  </si>
  <si>
    <t>11/11/2024</t>
  </si>
  <si>
    <t>RIYA MEHTA</t>
  </si>
  <si>
    <t>05/30/2024</t>
  </si>
  <si>
    <t>Myra Malhotra</t>
  </si>
  <si>
    <t>05/04/2024</t>
  </si>
  <si>
    <t xml:space="preserve">staplers </t>
  </si>
  <si>
    <t xml:space="preserve">  Kiara Singh  </t>
  </si>
  <si>
    <t>03/07/2024</t>
  </si>
  <si>
    <t>AADHYA AGARWAL</t>
  </si>
  <si>
    <t>neha gupta</t>
  </si>
  <si>
    <t xml:space="preserve">  Arjun Chopra  </t>
  </si>
  <si>
    <t>12-Aug-2024</t>
  </si>
  <si>
    <t>Rohan Malhotra</t>
  </si>
  <si>
    <t>02-Oct-2024</t>
  </si>
  <si>
    <t xml:space="preserve">priya singh </t>
  </si>
  <si>
    <t xml:space="preserve">  Paper  </t>
  </si>
  <si>
    <t>22-Jul-2024</t>
  </si>
  <si>
    <t>PRIYA PILLAI</t>
  </si>
  <si>
    <t xml:space="preserve">  Saanvi Rao  </t>
  </si>
  <si>
    <t>25-Feb-2024</t>
  </si>
  <si>
    <t xml:space="preserve">  Tanvi Singh  </t>
  </si>
  <si>
    <t>aarav patel</t>
  </si>
  <si>
    <t>05/27/2024</t>
  </si>
  <si>
    <t>Karan Das</t>
  </si>
  <si>
    <t>08/06/2024</t>
  </si>
  <si>
    <t>01-Jun-2024</t>
  </si>
  <si>
    <t xml:space="preserve">priya kapoor </t>
  </si>
  <si>
    <t>08/28/2024</t>
  </si>
  <si>
    <t>YASH REDDY</t>
  </si>
  <si>
    <t>ErgoComfort</t>
  </si>
  <si>
    <t>08/03/2024</t>
  </si>
  <si>
    <t xml:space="preserve">kiara kapoor </t>
  </si>
  <si>
    <t>08/31/2024</t>
  </si>
  <si>
    <t>saanvi verma</t>
  </si>
  <si>
    <t>Rahul Pillai</t>
  </si>
  <si>
    <t>07/07/2024</t>
  </si>
  <si>
    <t>simran iyer</t>
  </si>
  <si>
    <t xml:space="preserve">  Monitors  </t>
  </si>
  <si>
    <t>Simran Agarwal</t>
  </si>
  <si>
    <t>09/29/2024</t>
  </si>
  <si>
    <t>aadhya bhatt</t>
  </si>
  <si>
    <t>24-Dec-2024</t>
  </si>
  <si>
    <t>sai iyer</t>
  </si>
  <si>
    <t>Priya Shah</t>
  </si>
  <si>
    <t>SAI SHAH</t>
  </si>
  <si>
    <t>11-Nov-2024</t>
  </si>
  <si>
    <t>Aarav Joshi</t>
  </si>
  <si>
    <t>06-Feb-2024</t>
  </si>
  <si>
    <t>tanvi pillai</t>
  </si>
  <si>
    <t>Neha Agarwal</t>
  </si>
  <si>
    <t xml:space="preserve">  Saanvi Mehta  </t>
  </si>
  <si>
    <t>17-Jun-2024</t>
  </si>
  <si>
    <t xml:space="preserve">  Ishaan Reddy  </t>
  </si>
  <si>
    <t>21-Jul-2024</t>
  </si>
  <si>
    <t>TANVI PATEL</t>
  </si>
  <si>
    <t>t-shirts</t>
  </si>
  <si>
    <t>11-Jul-2024</t>
  </si>
  <si>
    <t xml:space="preserve">myra singh </t>
  </si>
  <si>
    <t>MYRA MALHOTRA</t>
  </si>
  <si>
    <t>04-Mar-2024</t>
  </si>
  <si>
    <t>Aarav Agarwal</t>
  </si>
  <si>
    <t>07-May-2024</t>
  </si>
  <si>
    <t>Rohan Agarwal</t>
  </si>
  <si>
    <t>12-Jun-2024</t>
  </si>
  <si>
    <t>Priya Nair</t>
  </si>
  <si>
    <t xml:space="preserve">karan rao </t>
  </si>
  <si>
    <t>28-May-2024</t>
  </si>
  <si>
    <t xml:space="preserve">pranav shah </t>
  </si>
  <si>
    <t>Saanvi Malhotra</t>
  </si>
  <si>
    <t>Rohan Reddy</t>
  </si>
  <si>
    <t>Pooja Chopra</t>
  </si>
  <si>
    <t>29-Nov-2024</t>
  </si>
  <si>
    <t xml:space="preserve">  Pooja Joshi  </t>
  </si>
  <si>
    <t>09-Nov-2024</t>
  </si>
  <si>
    <t>Kabir Reddy</t>
  </si>
  <si>
    <t>01-Jul-2024</t>
  </si>
  <si>
    <t xml:space="preserve">vivaan patel </t>
  </si>
  <si>
    <t xml:space="preserve">  Sai Bose  </t>
  </si>
  <si>
    <t>Kabir Singh</t>
  </si>
  <si>
    <t xml:space="preserve">pens </t>
  </si>
  <si>
    <t>18-Oct-2024</t>
  </si>
  <si>
    <t>PRANAV RAO</t>
  </si>
  <si>
    <t>ANANYA BHATT</t>
  </si>
  <si>
    <t>12-Jul-2024</t>
  </si>
  <si>
    <t>08/09/2024</t>
  </si>
  <si>
    <t>VIKRAM CHOPRA</t>
  </si>
  <si>
    <t>20-Sep-2024</t>
  </si>
  <si>
    <t>ROHAN MALHOTRA</t>
  </si>
  <si>
    <t>07/30/2024</t>
  </si>
  <si>
    <t>SNEHA PILLAI</t>
  </si>
  <si>
    <t>23-Sep-2024</t>
  </si>
  <si>
    <t xml:space="preserve">sneha reddy </t>
  </si>
  <si>
    <t>23-Dec-2024</t>
  </si>
  <si>
    <t xml:space="preserve">  Meera Gupta  </t>
  </si>
  <si>
    <t>RAHUL GUPTA</t>
  </si>
  <si>
    <t>pranav agarwal</t>
  </si>
  <si>
    <t>05/08/2024</t>
  </si>
  <si>
    <t>ADITYA MALHOTRA</t>
  </si>
  <si>
    <t>04/28/2024</t>
  </si>
  <si>
    <t xml:space="preserve">sai nair </t>
  </si>
  <si>
    <t>10/28/2024</t>
  </si>
  <si>
    <t>neha reddy</t>
  </si>
  <si>
    <t>15-Mar-2024</t>
  </si>
  <si>
    <t>KARAN PILLAI</t>
  </si>
  <si>
    <t>neha rao</t>
  </si>
  <si>
    <t>07/28/2024</t>
  </si>
  <si>
    <t xml:space="preserve">  Sai Patel  </t>
  </si>
  <si>
    <t xml:space="preserve">vivaan iyer </t>
  </si>
  <si>
    <t>07-Oct-2024</t>
  </si>
  <si>
    <t xml:space="preserve">  Aman Mehta  </t>
  </si>
  <si>
    <t>07/21/2024</t>
  </si>
  <si>
    <t xml:space="preserve">jackets </t>
  </si>
  <si>
    <t>06-Jul-2024</t>
  </si>
  <si>
    <t>yash sharma</t>
  </si>
  <si>
    <t>Ishaan Joshi</t>
  </si>
  <si>
    <t>06/28/2024</t>
  </si>
  <si>
    <t>Yash Das</t>
  </si>
  <si>
    <t>SAANVI RAO</t>
  </si>
  <si>
    <t>20-May-2024</t>
  </si>
  <si>
    <t>Nikhil Sharma</t>
  </si>
  <si>
    <t>09/25/2024</t>
  </si>
  <si>
    <t>Ananya Shah</t>
  </si>
  <si>
    <t>01-Sep-2024</t>
  </si>
  <si>
    <t>Ishaan Mehta</t>
  </si>
  <si>
    <t>11-Jan-2024</t>
  </si>
  <si>
    <t>SIMRAN PATEL</t>
  </si>
  <si>
    <t xml:space="preserve">sai bose </t>
  </si>
  <si>
    <t>SAI CHOPRA</t>
  </si>
  <si>
    <t>KARAN BHATT</t>
  </si>
  <si>
    <t>02/05/2024</t>
  </si>
  <si>
    <t>Arjun Kapoor</t>
  </si>
  <si>
    <t>09/10/2024</t>
  </si>
  <si>
    <t>Sai Agarwal</t>
  </si>
  <si>
    <t>15-Jun-2024</t>
  </si>
  <si>
    <t>AMAN PILLAI</t>
  </si>
  <si>
    <t>06/14/2024</t>
  </si>
  <si>
    <t>Ishaan Singh</t>
  </si>
  <si>
    <t>VIVAAN CHOPRA</t>
  </si>
  <si>
    <t>26-Jun-2024</t>
  </si>
  <si>
    <t>08-Nov-2024</t>
  </si>
  <si>
    <t xml:space="preserve">rahul shah </t>
  </si>
  <si>
    <t>Meera Chopra</t>
  </si>
  <si>
    <t>06/15/2024</t>
  </si>
  <si>
    <t xml:space="preserve">  Myra Sharma  </t>
  </si>
  <si>
    <t>30-May-2024</t>
  </si>
  <si>
    <t>ishaan verma</t>
  </si>
  <si>
    <t xml:space="preserve">  Rohan Das  </t>
  </si>
  <si>
    <t>30-Jul-2024</t>
  </si>
  <si>
    <t>01/22/2024</t>
  </si>
  <si>
    <t>kiara bhatt</t>
  </si>
  <si>
    <t>05-Dec-2024</t>
  </si>
  <si>
    <t xml:space="preserve">  Neha Shah  </t>
  </si>
  <si>
    <t>02/04/2024</t>
  </si>
  <si>
    <t xml:space="preserve">  Aadhya Chopra  </t>
  </si>
  <si>
    <t>ISHAAN VERMA</t>
  </si>
  <si>
    <t>07-Sep-2024</t>
  </si>
  <si>
    <t xml:space="preserve">rahul pillai </t>
  </si>
  <si>
    <t>12/20/2024</t>
  </si>
  <si>
    <t>vivaan bose</t>
  </si>
  <si>
    <t>PRANAV KAPOOR</t>
  </si>
  <si>
    <t>06-Dec-2024</t>
  </si>
  <si>
    <t>05-Nov-2024</t>
  </si>
  <si>
    <t>Tanvi Malhotra</t>
  </si>
  <si>
    <t xml:space="preserve">  Yash Patel  </t>
  </si>
  <si>
    <t>02/06/2024</t>
  </si>
  <si>
    <t>Simran Patel</t>
  </si>
  <si>
    <t>10/20/2024</t>
  </si>
  <si>
    <t>SNEHA AGARWAL</t>
  </si>
  <si>
    <t>07-Mar-2024</t>
  </si>
  <si>
    <t>vivaan rao</t>
  </si>
  <si>
    <t>29-Aug-2024</t>
  </si>
  <si>
    <t>Aadhya Malhotra</t>
  </si>
  <si>
    <t xml:space="preserve">tanvi verma </t>
  </si>
  <si>
    <t>17-Dec-2024</t>
  </si>
  <si>
    <t>KIARA BOSE</t>
  </si>
  <si>
    <t xml:space="preserve">pranav bose </t>
  </si>
  <si>
    <t>24-Jul-2024</t>
  </si>
  <si>
    <t>Myra Shah</t>
  </si>
  <si>
    <t>10-Aug-2024</t>
  </si>
  <si>
    <t>Ishaan Patel</t>
  </si>
  <si>
    <t>15-Jul-2024</t>
  </si>
  <si>
    <t>sneha bhatt</t>
  </si>
  <si>
    <t>DIYA GUPTA</t>
  </si>
  <si>
    <t xml:space="preserve">chairs </t>
  </si>
  <si>
    <t>SIMRAN GUPTA</t>
  </si>
  <si>
    <t>21-Dec-2024</t>
  </si>
  <si>
    <t>neha bhatt</t>
  </si>
  <si>
    <t>04/23/2024</t>
  </si>
  <si>
    <t>Sai Sharma</t>
  </si>
  <si>
    <t>01-Apr-2024</t>
  </si>
  <si>
    <t>karan mehta</t>
  </si>
  <si>
    <t>06/30/2024</t>
  </si>
  <si>
    <t xml:space="preserve">  Meera Das  </t>
  </si>
  <si>
    <t>10/04/2024</t>
  </si>
  <si>
    <t xml:space="preserve">  Kiara Pillai  </t>
  </si>
  <si>
    <t>KIARA MALHOTRA</t>
  </si>
  <si>
    <t>10-Dec-2024</t>
  </si>
  <si>
    <t>VIKRAM MEHTA</t>
  </si>
  <si>
    <t>02-Nov-2024</t>
  </si>
  <si>
    <t>Myra Verma</t>
  </si>
  <si>
    <t>09/03/2024</t>
  </si>
  <si>
    <t xml:space="preserve">vikram patel </t>
  </si>
  <si>
    <t>Myra Reddy</t>
  </si>
  <si>
    <t>20-Jun-2024</t>
  </si>
  <si>
    <t>POOJA SINGH</t>
  </si>
  <si>
    <t>13-Aug-2024</t>
  </si>
  <si>
    <t>Diya Iyer</t>
  </si>
  <si>
    <t>02/19/2024</t>
  </si>
  <si>
    <t>diya shah</t>
  </si>
  <si>
    <t>29-Oct-2024</t>
  </si>
  <si>
    <t>aman patel</t>
  </si>
  <si>
    <t>19-Feb-2024</t>
  </si>
  <si>
    <t>KARAN MALHOTRA</t>
  </si>
  <si>
    <t>21-Feb-2024</t>
  </si>
  <si>
    <t>KABIR DAS</t>
  </si>
  <si>
    <t>08-Jun-2024</t>
  </si>
  <si>
    <t>Aadhya Bhatt</t>
  </si>
  <si>
    <t>Kabir Pillai</t>
  </si>
  <si>
    <t>10-Oct-2024</t>
  </si>
  <si>
    <t xml:space="preserve">  Pranav Kapoor  </t>
  </si>
  <si>
    <t>12/10/2024</t>
  </si>
  <si>
    <t xml:space="preserve">vivaan das </t>
  </si>
  <si>
    <t>05/05/2024</t>
  </si>
  <si>
    <t>RIYA JOSHI</t>
  </si>
  <si>
    <t xml:space="preserve">  Kabir Bhatt  </t>
  </si>
  <si>
    <t xml:space="preserve">  Vivaan Reddy  </t>
  </si>
  <si>
    <t>MYRA KAPOOR</t>
  </si>
  <si>
    <t>11/19/2024</t>
  </si>
  <si>
    <t>KIARA NAIR</t>
  </si>
  <si>
    <t>11/15/2024</t>
  </si>
  <si>
    <t xml:space="preserve">arjun mehta </t>
  </si>
  <si>
    <t>19-Nov-2024</t>
  </si>
  <si>
    <t xml:space="preserve">  Pranav Singh  </t>
  </si>
  <si>
    <t>01/13/2024</t>
  </si>
  <si>
    <t>DIYA VERMA</t>
  </si>
  <si>
    <t>20-Apr-2024</t>
  </si>
  <si>
    <t>MEERA BOSE</t>
  </si>
  <si>
    <t>12/11/2024</t>
  </si>
  <si>
    <t xml:space="preserve">  Vikram Sharma  </t>
  </si>
  <si>
    <t>Diya Mehta</t>
  </si>
  <si>
    <t>karan malhotra</t>
  </si>
  <si>
    <t>Nikhil Shah</t>
  </si>
  <si>
    <t>11/22/2024</t>
  </si>
  <si>
    <t>11/02/2024</t>
  </si>
  <si>
    <t xml:space="preserve">  Simran Singh  </t>
  </si>
  <si>
    <t>11/13/2024</t>
  </si>
  <si>
    <t>Ishaan Agarwal</t>
  </si>
  <si>
    <t>09/06/2024</t>
  </si>
  <si>
    <t xml:space="preserve">aadhya das </t>
  </si>
  <si>
    <t>14-Jun-2024</t>
  </si>
  <si>
    <t>Rahul Nair</t>
  </si>
  <si>
    <t>03/22/2024</t>
  </si>
  <si>
    <t>NEHA REDDY</t>
  </si>
  <si>
    <t>26-Mar-2024</t>
  </si>
  <si>
    <t>Neha Pillai</t>
  </si>
  <si>
    <t>28-Jul-2024</t>
  </si>
  <si>
    <t>MYRA NAIR</t>
  </si>
  <si>
    <t>09-Jun-2024</t>
  </si>
  <si>
    <t>diya patel</t>
  </si>
  <si>
    <t>Aadhya Verma</t>
  </si>
  <si>
    <t>12/24/2024</t>
  </si>
  <si>
    <t>Sai Patel</t>
  </si>
  <si>
    <t xml:space="preserve">manoj bose </t>
  </si>
  <si>
    <t>pooja chopra</t>
  </si>
  <si>
    <t>24-Aug-2024</t>
  </si>
  <si>
    <t xml:space="preserve">  Aman Nair  </t>
  </si>
  <si>
    <t xml:space="preserve">kiara bhatt </t>
  </si>
  <si>
    <t xml:space="preserve">  Ishaan Patel  </t>
  </si>
  <si>
    <t>aarav nair</t>
  </si>
  <si>
    <t>Arjun Das</t>
  </si>
  <si>
    <t>06-Mar-2024</t>
  </si>
  <si>
    <t>10-Sep-2024</t>
  </si>
  <si>
    <t>MEERA SHARMA</t>
  </si>
  <si>
    <t>DIYA SINGH</t>
  </si>
  <si>
    <t>19-Apr-2024</t>
  </si>
  <si>
    <t>Nikhil Joshi</t>
  </si>
  <si>
    <t>11/12/2024</t>
  </si>
  <si>
    <t>kabir rao</t>
  </si>
  <si>
    <t>12/29/2024</t>
  </si>
  <si>
    <t>TANVI RAO</t>
  </si>
  <si>
    <t>07/06/2024</t>
  </si>
  <si>
    <t>KARAN AGARWAL</t>
  </si>
  <si>
    <t>manoj das</t>
  </si>
  <si>
    <t>10/16/2024</t>
  </si>
  <si>
    <t xml:space="preserve">yash joshi </t>
  </si>
  <si>
    <t>Vivaan Joshi</t>
  </si>
  <si>
    <t>simran mehta</t>
  </si>
  <si>
    <t>07-Feb-2024</t>
  </si>
  <si>
    <t xml:space="preserve">  Pooja Nair  </t>
  </si>
  <si>
    <t>08/12/2024</t>
  </si>
  <si>
    <t>Karan Chopra</t>
  </si>
  <si>
    <t>12/08/2024</t>
  </si>
  <si>
    <t xml:space="preserve">kabir iyer </t>
  </si>
  <si>
    <t>ISHAAN JOSHI</t>
  </si>
  <si>
    <t xml:space="preserve">saanvi reddy </t>
  </si>
  <si>
    <t>24-Jan-2024</t>
  </si>
  <si>
    <t xml:space="preserve">  Meera Iyer  </t>
  </si>
  <si>
    <t>07/04/2024</t>
  </si>
  <si>
    <t>arjun shah</t>
  </si>
  <si>
    <t>17-Aug-2024</t>
  </si>
  <si>
    <t>02/08/2024</t>
  </si>
  <si>
    <t xml:space="preserve">  Tanvi Das  </t>
  </si>
  <si>
    <t>04-Aug-2024</t>
  </si>
  <si>
    <t>RIYA DAS</t>
  </si>
  <si>
    <t>07/15/2024</t>
  </si>
  <si>
    <t>Vivaan Verma</t>
  </si>
  <si>
    <t>09/22/2024</t>
  </si>
  <si>
    <t>neha shah</t>
  </si>
  <si>
    <t>Aman Kapoor</t>
  </si>
  <si>
    <t>01/18/2024</t>
  </si>
  <si>
    <t xml:space="preserve">  Vivaan Bose  </t>
  </si>
  <si>
    <t>diya das</t>
  </si>
  <si>
    <t xml:space="preserve">  Sneha Gupta  </t>
  </si>
  <si>
    <t>05/14/2024</t>
  </si>
  <si>
    <t xml:space="preserve">  Sai Rao  </t>
  </si>
  <si>
    <t>MEERA AGARWAL</t>
  </si>
  <si>
    <t>07/09/2024</t>
  </si>
  <si>
    <t>manoj reddy</t>
  </si>
  <si>
    <t>04/06/2024</t>
  </si>
  <si>
    <t xml:space="preserve">kabir sharma </t>
  </si>
  <si>
    <t>pranav chopra</t>
  </si>
  <si>
    <t>06/11/2024</t>
  </si>
  <si>
    <t>NIKHIL NAIR</t>
  </si>
  <si>
    <t>11/08/2024</t>
  </si>
  <si>
    <t>Pranav Patel</t>
  </si>
  <si>
    <t xml:space="preserve">shoes </t>
  </si>
  <si>
    <t>Nikhil Verma</t>
  </si>
  <si>
    <t>KIARA SHARMA</t>
  </si>
  <si>
    <t>25-Dec-2024</t>
  </si>
  <si>
    <t>yash bhatt</t>
  </si>
  <si>
    <t xml:space="preserve">aarav sharma </t>
  </si>
  <si>
    <t>12-Feb-2024</t>
  </si>
  <si>
    <t>14-Mar-2024</t>
  </si>
  <si>
    <t xml:space="preserve">sneha iyer </t>
  </si>
  <si>
    <t>15-Nov-2024</t>
  </si>
  <si>
    <t xml:space="preserve">aarav das </t>
  </si>
  <si>
    <t>08/30/2024</t>
  </si>
  <si>
    <t>SNEHA BHATT</t>
  </si>
  <si>
    <t xml:space="preserve">  Pranav Bose  </t>
  </si>
  <si>
    <t>10/27/2024</t>
  </si>
  <si>
    <t>Pooja Kapoor</t>
  </si>
  <si>
    <t>09-Aug-2024</t>
  </si>
  <si>
    <t>Karan Bose</t>
  </si>
  <si>
    <t xml:space="preserve">  Yash Mehta  </t>
  </si>
  <si>
    <t>aarav mehta</t>
  </si>
  <si>
    <t>diya verma</t>
  </si>
  <si>
    <t>Aditya Malhotra</t>
  </si>
  <si>
    <t>07/24/2024</t>
  </si>
  <si>
    <t>Pranav Bhatt</t>
  </si>
  <si>
    <t>03/14/2024</t>
  </si>
  <si>
    <t xml:space="preserve">aditya verma </t>
  </si>
  <si>
    <t>05-May-2024</t>
  </si>
  <si>
    <t>priya mehta</t>
  </si>
  <si>
    <t>05/12/2024</t>
  </si>
  <si>
    <t>Vikram Gupta</t>
  </si>
  <si>
    <t>08/25/2024</t>
  </si>
  <si>
    <t>01/06/2024</t>
  </si>
  <si>
    <t xml:space="preserve">kiara malhotra </t>
  </si>
  <si>
    <t xml:space="preserve">karan iyer </t>
  </si>
  <si>
    <t>Tanvi Bose</t>
  </si>
  <si>
    <t>07/14/2024</t>
  </si>
  <si>
    <t>tanvi agarwal</t>
  </si>
  <si>
    <t xml:space="preserve">pranav rao </t>
  </si>
  <si>
    <t>04/19/2024</t>
  </si>
  <si>
    <t xml:space="preserve">  Meera Bhatt  </t>
  </si>
  <si>
    <t>KABIR REDDY</t>
  </si>
  <si>
    <t>27-Mar-2024</t>
  </si>
  <si>
    <t>NIKHIL GUPTA</t>
  </si>
  <si>
    <t>04-Nov-2024</t>
  </si>
  <si>
    <t>Meera Bose</t>
  </si>
  <si>
    <t>08/11/2024</t>
  </si>
  <si>
    <t>Pooja Reddy</t>
  </si>
  <si>
    <t>09/26/2024</t>
  </si>
  <si>
    <t>Aarav Bose</t>
  </si>
  <si>
    <t>29-Mar-2024</t>
  </si>
  <si>
    <t>Manoj Pillai</t>
  </si>
  <si>
    <t>12/13/2024</t>
  </si>
  <si>
    <t xml:space="preserve">manoj iyer </t>
  </si>
  <si>
    <t xml:space="preserve">  Pooja Shah  </t>
  </si>
  <si>
    <t>SIMRAN CHOPRA</t>
  </si>
  <si>
    <t>Saanvi Mehta</t>
  </si>
  <si>
    <t>KABIR RAO</t>
  </si>
  <si>
    <t>Month</t>
  </si>
  <si>
    <t>Profit</t>
  </si>
  <si>
    <t>Profit Margin %</t>
  </si>
  <si>
    <t>RETAIL SALES — PIVOT-STYLE ANALYSIS TABLES</t>
  </si>
  <si>
    <t>1. Sales &amp; Profit by Region</t>
  </si>
  <si>
    <t>Total Sales</t>
  </si>
  <si>
    <t>Order Count</t>
  </si>
  <si>
    <t>TOTAL</t>
  </si>
  <si>
    <t>2. Sales &amp; Profit by Category</t>
  </si>
  <si>
    <t>3. Monthly Sales &amp; Profit Trend (2024)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</si>
  <si>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</si>
  <si>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</si>
  <si>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</si>
  <si>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</si>
  <si>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</si>
  <si>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</si>
  <si>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</si>
  <si>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</si>
  <si>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</si>
  <si>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</si>
  <si>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</si>
  <si>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</si>
  <si>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4. Top 10 Best-Selling Products by Revenue</t>
  </si>
  <si>
    <t>Units Sold</t>
  </si>
  <si>
    <t>EXECUTIVE SUMMARY &amp; RECOMMENDATIONS</t>
  </si>
  <si>
    <t>Key Findings</t>
  </si>
  <si>
    <t>Recommendations</t>
  </si>
  <si>
    <t>1. Reallocate marketing spend toward the weakest-performing region — run a targeted promotion and compare next quarter's results.</t>
  </si>
  <si>
    <t>2. Office Supplies and Clothing carry the highest profit margins despite lower revenue — bundle them with top-selling Electronics items to lift overall margin.</t>
  </si>
  <si>
    <t>3. Investigate the slowest sales month for stock-outs, pricing issues, or seasonal demand drops before assuming it's a marketing problem.</t>
  </si>
  <si>
    <t>4. Double down on the top 3 best-selling products with better in-stock availability and featured placement, since they already drive a disproportionate share of revenue.</t>
  </si>
  <si>
    <t>5. Standardize data entry (region names, customer names, date formats) at the source — this dataset required significant cleaning, which signals an opportunity to fix the input process, not just the output report.</t>
  </si>
  <si>
    <t>6. Set up this workbook to refresh monthly: drop new transactions into Raw_Data, and every formula in Cleaned_Data, Analysis, and Dashboard updates automatically.</t>
  </si>
  <si>
    <t>Methodology Note</t>
  </si>
  <si>
    <t>Raw_Data contains 468 transaction records as originally logged, including inconsistent text casing/spacing, two different date formats, missing Discount/Sales values, and 18 duplicate entries. Cleaned_Data rebuilds every field with formulas (TRIM, PROPER, DATEVALUE) and recalculates Sales and Profit from source fields rather than trusting the raw, error-prone Sales column. Duplicate records were identified by Order ID and excluded from the clean table. Analysis uses SUMIF/COUNTIF pivot-style summaries instead of static numbers so the whole report recalculates if new data is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</si>
</sst>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b/>
      <sz val="16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rgb="FF1F4E78"/>
      <name val="Arial"/>
      <charset val="1"/>
    </font>
    <font>
      <b/>
      <sz val="10"/>
      <name val="Arial"/>
      <charset val="1"/>
    </font>
    <font>
      <b/>
      <sz val="11"/>
      <name val="Cambria"/>
      <charset val="1"/>
    </font>
    <font>
      <b/>
      <sz val="12"/>
      <color rgb="FF1F4E78"/>
      <name val="Arial"/>
      <charset val="1"/>
    </font>
    <font>
      <sz val="10.5"/>
      <name val="Arial"/>
      <charset val="1"/>
    </font>
    <font>
      <i/>
      <sz val="10"/>
      <color rgb="FF555555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86C1"/>
        <bgColor rgb="FF4F81BD"/>
      </patternFill>
    </fill>
    <fill>
      <patternFill patternType="solid">
        <fgColor rgb="FFEAF1F8"/>
        <bgColor rgb="FFFFFFFF"/>
      </patternFill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4" borderId="0" xfId="0" applyFont="1" applyFill="1" applyAlignment="1">
      <alignment horizontal="center"/>
    </xf>
    <xf numFmtId="0" fontId="6" fillId="0" borderId="0" xfId="0" applyFont="1"/>
    <xf numFmtId="164" fontId="6" fillId="0" borderId="0" xfId="0" applyNumberFormat="1" applyFont="1"/>
    <xf numFmtId="3" fontId="6" fillId="0" borderId="0" xfId="0" applyNumberFormat="1" applyFont="1"/>
    <xf numFmtId="9" fontId="6" fillId="0" borderId="0" xfId="0" applyNumberFormat="1" applyFont="1"/>
    <xf numFmtId="165" fontId="6" fillId="0" borderId="0" xfId="0" applyNumberFormat="1" applyFont="1"/>
    <xf numFmtId="0" fontId="7" fillId="0" borderId="0" xfId="0" applyFont="1"/>
    <xf numFmtId="0" fontId="8" fillId="0" borderId="0" xfId="0" applyFont="1"/>
    <xf numFmtId="3" fontId="0" fillId="0" borderId="0" xfId="0" applyNumberFormat="1"/>
    <xf numFmtId="165" fontId="0" fillId="0" borderId="0" xfId="0" applyNumberFormat="1"/>
    <xf numFmtId="0" fontId="9" fillId="0" borderId="0" xfId="0" applyFont="1"/>
    <xf numFmtId="0" fontId="10" fillId="0" borderId="0" xfId="0" applyFont="1"/>
    <xf numFmtId="3" fontId="4" fillId="3" borderId="0" xfId="0" applyNumberFormat="1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12" fillId="0" borderId="0" xfId="0" applyFont="1" applyAlignment="1">
      <alignment vertical="top" wrapText="1"/>
    </xf>
    <xf numFmtId="0" fontId="1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666666"/>
      <rgbColor rgb="FF9999FF"/>
      <rgbColor rgb="FFC0504D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Analysis!$B$6:$B$9</c:f>
              <c:numCache>
                <c:formatCode>#,##0</c:formatCode>
                <c:ptCount val="4"/>
                <c:pt idx="0">
                  <c:v>5138084.1400000006</c:v>
                </c:pt>
                <c:pt idx="1">
                  <c:v>3879013.99</c:v>
                </c:pt>
                <c:pt idx="2">
                  <c:v>3586208.1499999994</c:v>
                </c:pt>
                <c:pt idx="3">
                  <c:v>4866661.9200000018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2-4794-BB3D-5D67D75FD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66435"/>
        <c:axId val="59159248"/>
      </c:barChart>
      <c:catAx>
        <c:axId val="254664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159248"/>
        <c:crosses val="autoZero"/>
        <c:auto val="1"/>
        <c:lblAlgn val="ctr"/>
        <c:lblOffset val="100"/>
        <c:noMultiLvlLbl val="0"/>
      </c:catAx>
      <c:valAx>
        <c:axId val="591592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664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Analysis!$B$13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E35-42B1-B179-B2CB2166307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E35-42B1-B179-B2CB2166307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E35-42B1-B179-B2CB2166307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E35-42B1-B179-B2CB2166307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35-42B1-B179-B2CB2166307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35-42B1-B179-B2CB2166307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35-42B1-B179-B2CB2166307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35-42B1-B179-B2CB216630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Analysis!$A$14:$A$17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  <c:pt idx="3">
                  <c:v>Clothing</c:v>
                </c:pt>
              </c:strCache>
            </c:strRef>
          </c:cat>
          <c:val>
            <c:numRef>
              <c:f>Analysis!$B$14:$B$17</c:f>
              <c:numCache>
                <c:formatCode>#,##0</c:formatCode>
                <c:ptCount val="4"/>
                <c:pt idx="0">
                  <c:v>12274030.410000002</c:v>
                </c:pt>
                <c:pt idx="1">
                  <c:v>3768787.64</c:v>
                </c:pt>
                <c:pt idx="2">
                  <c:v>141223.65000000002</c:v>
                </c:pt>
                <c:pt idx="3">
                  <c:v>1285926.5000000007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35-42B1-B179-B2CB21663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&amp; Profit Trend (2024)</a:t>
            </a:r>
          </a:p>
        </c:rich>
      </c:tx>
      <c:layout>
        <c:manualLayout>
          <c:xMode val="edge"/>
          <c:yMode val="edge"/>
          <c:x val="0.27750931149341329"/>
          <c:y val="2.755717571496766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Total Sales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Analysis!$A$22:$A$33</c:f>
              <c:strCache>
                <c:ptCount val="1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</c:strCache>
            </c:strRef>
          </c:cat>
          <c:val>
            <c:numRef>
              <c:f>Analysis!$B$22:$B$33</c:f>
              <c:numCache>
                <c:formatCode>#,##0</c:formatCode>
                <c:ptCount val="12"/>
                <c:pt idx="0">
                  <c:v>837204.17000000016</c:v>
                </c:pt>
                <c:pt idx="1">
                  <c:v>1695632.4900000002</c:v>
                </c:pt>
                <c:pt idx="2">
                  <c:v>1140317.9200000002</c:v>
                </c:pt>
                <c:pt idx="3">
                  <c:v>979561.90000000026</c:v>
                </c:pt>
                <c:pt idx="4">
                  <c:v>822936.97000000009</c:v>
                </c:pt>
                <c:pt idx="5">
                  <c:v>1493680.44</c:v>
                </c:pt>
                <c:pt idx="6">
                  <c:v>1550352.5499999998</c:v>
                </c:pt>
                <c:pt idx="7">
                  <c:v>493646.89999999997</c:v>
                </c:pt>
                <c:pt idx="8">
                  <c:v>552593.95000000007</c:v>
                </c:pt>
                <c:pt idx="9">
                  <c:v>551075.04999999993</c:v>
                </c:pt>
                <c:pt idx="10">
                  <c:v>1453830.71</c:v>
                </c:pt>
                <c:pt idx="11">
                  <c:v>486924.46999999986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01-425D-AB86-48937E607899}"/>
            </c:ext>
          </c:extLst>
        </c:ser>
        <c:ser>
          <c:idx val="1"/>
          <c:order val="1"/>
          <c:tx>
            <c:strRef>
              <c:f>Analysis!$C$21</c:f>
              <c:strCache>
                <c:ptCount val="1"/>
                <c:pt idx="0">
                  <c:v>Total Profit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Analysis!$A$22:$A$33</c:f>
              <c:strCache>
                <c:ptCount val="1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</c:strCache>
            </c:strRef>
          </c:cat>
          <c:val>
            <c:numRef>
              <c:f>Analysis!$C$22:$C$33</c:f>
              <c:numCache>
                <c:formatCode>#,##0</c:formatCode>
                <c:ptCount val="12"/>
                <c:pt idx="0">
                  <c:v>290816.93000000005</c:v>
                </c:pt>
                <c:pt idx="1">
                  <c:v>554398.31000000017</c:v>
                </c:pt>
                <c:pt idx="2">
                  <c:v>408277.89999999997</c:v>
                </c:pt>
                <c:pt idx="3">
                  <c:v>315462.35000000009</c:v>
                </c:pt>
                <c:pt idx="4">
                  <c:v>308062.78000000003</c:v>
                </c:pt>
                <c:pt idx="5">
                  <c:v>532680.43000000005</c:v>
                </c:pt>
                <c:pt idx="6">
                  <c:v>536234.69999999995</c:v>
                </c:pt>
                <c:pt idx="7">
                  <c:v>186228.28</c:v>
                </c:pt>
                <c:pt idx="8">
                  <c:v>201197.71000000005</c:v>
                </c:pt>
                <c:pt idx="9">
                  <c:v>184074.57</c:v>
                </c:pt>
                <c:pt idx="10">
                  <c:v>461457.4</c:v>
                </c:pt>
                <c:pt idx="11">
                  <c:v>189930.33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01-425D-AB86-48937E607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604043"/>
        <c:axId val="6998741"/>
      </c:lineChart>
      <c:catAx>
        <c:axId val="346040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98741"/>
        <c:crosses val="autoZero"/>
        <c:auto val="1"/>
        <c:lblAlgn val="ctr"/>
        <c:lblOffset val="100"/>
        <c:noMultiLvlLbl val="0"/>
      </c:catAx>
      <c:valAx>
        <c:axId val="69987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6040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Best-Selling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Analysis!$A$38:$A$47</c:f>
              <c:strCache>
                <c:ptCount val="10"/>
                <c:pt idx="0">
                  <c:v>ProBook 14</c:v>
                </c:pt>
                <c:pt idx="1">
                  <c:v>UltraSlim X1</c:v>
                </c:pt>
                <c:pt idx="2">
                  <c:v>ErgoComfort</c:v>
                </c:pt>
                <c:pt idx="3">
                  <c:v>CornerFit Desk</c:v>
                </c:pt>
                <c:pt idx="4">
                  <c:v>WideView 27</c:v>
                </c:pt>
                <c:pt idx="5">
                  <c:v>CurveTech 32</c:v>
                </c:pt>
                <c:pt idx="6">
                  <c:v>MeshFlex Pro</c:v>
                </c:pt>
                <c:pt idx="7">
                  <c:v>WinterGuard</c:v>
                </c:pt>
                <c:pt idx="8">
                  <c:v>StudioFit</c:v>
                </c:pt>
                <c:pt idx="9">
                  <c:v>RunFast Sport</c:v>
                </c:pt>
              </c:strCache>
            </c:strRef>
          </c:cat>
          <c:val>
            <c:numRef>
              <c:f>Analysis!$B$38:$B$47</c:f>
              <c:numCache>
                <c:formatCode>#,##0</c:formatCode>
                <c:ptCount val="10"/>
                <c:pt idx="0">
                  <c:v>4117343.67</c:v>
                </c:pt>
                <c:pt idx="1">
                  <c:v>3662980.2399999998</c:v>
                </c:pt>
                <c:pt idx="2">
                  <c:v>306573.28999999998</c:v>
                </c:pt>
                <c:pt idx="3">
                  <c:v>786773.22999999986</c:v>
                </c:pt>
                <c:pt idx="4">
                  <c:v>860377.98</c:v>
                </c:pt>
                <c:pt idx="5">
                  <c:v>1358240.77</c:v>
                </c:pt>
                <c:pt idx="6">
                  <c:v>503060.45</c:v>
                </c:pt>
                <c:pt idx="7">
                  <c:v>221767.25</c:v>
                </c:pt>
                <c:pt idx="8">
                  <c:v>218608.02000000002</c:v>
                </c:pt>
                <c:pt idx="9">
                  <c:v>183020.58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6-4CB1-B828-42AC8B9A5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07679"/>
        <c:axId val="24899286"/>
      </c:barChart>
      <c:catAx>
        <c:axId val="7930767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899286"/>
        <c:crosses val="autoZero"/>
        <c:auto val="1"/>
        <c:lblAlgn val="ctr"/>
        <c:lblOffset val="100"/>
        <c:noMultiLvlLbl val="0"/>
      </c:catAx>
      <c:valAx>
        <c:axId val="2489928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3076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41040</xdr:rowOff>
    </xdr:from>
    <xdr:to>
      <xdr:col>5</xdr:col>
      <xdr:colOff>458280</xdr:colOff>
      <xdr:row>21</xdr:row>
      <xdr:rowOff>63360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685800</xdr:colOff>
      <xdr:row>6</xdr:row>
      <xdr:rowOff>25800</xdr:rowOff>
    </xdr:from>
    <xdr:to>
      <xdr:col>12</xdr:col>
      <xdr:colOff>539820</xdr:colOff>
      <xdr:row>21</xdr:row>
      <xdr:rowOff>48120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68580</xdr:colOff>
      <xdr:row>21</xdr:row>
      <xdr:rowOff>178560</xdr:rowOff>
    </xdr:from>
    <xdr:to>
      <xdr:col>7</xdr:col>
      <xdr:colOff>373380</xdr:colOff>
      <xdr:row>37</xdr:row>
      <xdr:rowOff>17640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586740</xdr:colOff>
      <xdr:row>21</xdr:row>
      <xdr:rowOff>132840</xdr:rowOff>
    </xdr:from>
    <xdr:to>
      <xdr:col>20</xdr:col>
      <xdr:colOff>22860</xdr:colOff>
      <xdr:row>37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9"/>
  <sheetViews>
    <sheetView zoomScaleNormal="100" workbookViewId="0">
      <pane ySplit="1" topLeftCell="A2" activePane="bottomLeft" state="frozen"/>
      <selection sqref="A1:H1"/>
      <selection pane="bottomLeft" activeCell="L5" sqref="L5"/>
    </sheetView>
  </sheetViews>
  <sheetFormatPr defaultColWidth="8.6640625" defaultRowHeight="14.4" x14ac:dyDescent="0.3"/>
  <cols>
    <col min="1" max="2" width="16" customWidth="1"/>
    <col min="3" max="3" width="22" customWidth="1"/>
    <col min="4" max="12" width="16" customWidth="1"/>
  </cols>
  <sheetData>
    <row r="1" spans="1:12" ht="15" customHeight="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ht="15" customHeight="1" x14ac:dyDescent="0.3">
      <c r="A2" s="2">
        <v>100001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4</v>
      </c>
      <c r="I2" s="2">
        <v>9197.33</v>
      </c>
      <c r="J2" s="2">
        <v>5702.34</v>
      </c>
      <c r="K2" s="2"/>
      <c r="L2" s="2">
        <v>36789.32</v>
      </c>
    </row>
    <row r="3" spans="1:12" ht="15" customHeight="1" x14ac:dyDescent="0.3">
      <c r="A3" s="2">
        <v>100002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>
        <v>1</v>
      </c>
      <c r="I3" s="2">
        <v>4928.63</v>
      </c>
      <c r="J3" s="2">
        <v>3105.04</v>
      </c>
      <c r="K3" s="2">
        <v>0</v>
      </c>
      <c r="L3" s="2">
        <v>4928.63</v>
      </c>
    </row>
    <row r="4" spans="1:12" ht="15" customHeight="1" x14ac:dyDescent="0.3">
      <c r="A4" s="2">
        <v>100003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>
        <v>2</v>
      </c>
      <c r="I4" s="2">
        <v>3337.17</v>
      </c>
      <c r="J4" s="2">
        <v>1668.58</v>
      </c>
      <c r="K4" s="2">
        <v>0.1</v>
      </c>
      <c r="L4" s="2">
        <v>6006.9</v>
      </c>
    </row>
    <row r="5" spans="1:12" ht="15" customHeight="1" x14ac:dyDescent="0.3">
      <c r="A5" s="2">
        <v>100004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>
        <v>5</v>
      </c>
      <c r="I5" s="2">
        <v>5246.51</v>
      </c>
      <c r="J5" s="2">
        <v>3410.23</v>
      </c>
      <c r="K5" s="2">
        <v>0.2</v>
      </c>
      <c r="L5" s="2">
        <v>20986.02</v>
      </c>
    </row>
    <row r="6" spans="1:12" ht="15" customHeight="1" x14ac:dyDescent="0.3">
      <c r="A6" s="2">
        <v>100005</v>
      </c>
      <c r="B6" s="2" t="s">
        <v>42</v>
      </c>
      <c r="C6" s="2" t="s">
        <v>43</v>
      </c>
      <c r="D6" s="2" t="s">
        <v>44</v>
      </c>
      <c r="E6" s="2" t="s">
        <v>27</v>
      </c>
      <c r="F6" s="2" t="s">
        <v>28</v>
      </c>
      <c r="G6" s="2" t="s">
        <v>29</v>
      </c>
      <c r="H6" s="2">
        <v>5</v>
      </c>
      <c r="I6" s="2">
        <v>5069.6000000000004</v>
      </c>
      <c r="J6" s="2">
        <v>3193.85</v>
      </c>
      <c r="K6" s="2">
        <v>0.15</v>
      </c>
      <c r="L6" s="2">
        <v>21545.79</v>
      </c>
    </row>
    <row r="7" spans="1:12" ht="15" customHeight="1" x14ac:dyDescent="0.3">
      <c r="A7" s="2">
        <v>100006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>
        <v>7</v>
      </c>
      <c r="I7" s="2">
        <v>127.8</v>
      </c>
      <c r="J7" s="2">
        <v>57.51</v>
      </c>
      <c r="K7" s="2">
        <v>0.15</v>
      </c>
      <c r="L7" s="2">
        <v>760.42</v>
      </c>
    </row>
    <row r="8" spans="1:12" ht="15" customHeight="1" x14ac:dyDescent="0.3">
      <c r="A8" s="2">
        <v>100007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>
        <v>2</v>
      </c>
      <c r="I8" s="2">
        <v>436.44</v>
      </c>
      <c r="J8" s="2">
        <v>196.4</v>
      </c>
      <c r="K8" s="2">
        <v>0</v>
      </c>
      <c r="L8" s="2">
        <v>872.88</v>
      </c>
    </row>
    <row r="9" spans="1:12" ht="15" customHeight="1" x14ac:dyDescent="0.3">
      <c r="A9" s="2">
        <v>100008</v>
      </c>
      <c r="B9" s="2" t="s">
        <v>57</v>
      </c>
      <c r="C9" s="2" t="s">
        <v>58</v>
      </c>
      <c r="D9" s="2" t="s">
        <v>59</v>
      </c>
      <c r="E9" s="2" t="s">
        <v>48</v>
      </c>
      <c r="F9" s="2" t="s">
        <v>60</v>
      </c>
      <c r="G9" s="2" t="s">
        <v>61</v>
      </c>
      <c r="H9" s="2">
        <v>5</v>
      </c>
      <c r="I9" s="2">
        <v>221.43</v>
      </c>
      <c r="J9" s="2">
        <v>110.72</v>
      </c>
      <c r="K9" s="2">
        <v>0.1</v>
      </c>
      <c r="L9" s="2">
        <v>996.45</v>
      </c>
    </row>
    <row r="10" spans="1:12" ht="15" customHeight="1" x14ac:dyDescent="0.3">
      <c r="A10" s="2">
        <v>100009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>
        <v>6</v>
      </c>
      <c r="I10" s="2">
        <v>7195.98</v>
      </c>
      <c r="J10" s="2">
        <v>4461.51</v>
      </c>
      <c r="K10" s="2">
        <v>0</v>
      </c>
      <c r="L10" s="2">
        <v>43175.9</v>
      </c>
    </row>
    <row r="11" spans="1:12" ht="15" customHeight="1" x14ac:dyDescent="0.3">
      <c r="A11" s="2">
        <v>100010</v>
      </c>
      <c r="B11" s="2" t="s">
        <v>68</v>
      </c>
      <c r="C11" s="2" t="s">
        <v>69</v>
      </c>
      <c r="D11" s="2" t="s">
        <v>47</v>
      </c>
      <c r="E11" s="2" t="s">
        <v>39</v>
      </c>
      <c r="F11" s="2" t="s">
        <v>28</v>
      </c>
      <c r="G11" s="2" t="s">
        <v>70</v>
      </c>
      <c r="H11" s="2">
        <v>5</v>
      </c>
      <c r="I11" s="2">
        <v>5704.15</v>
      </c>
      <c r="J11" s="2">
        <v>3422.49</v>
      </c>
      <c r="K11" s="2">
        <v>0.1</v>
      </c>
      <c r="L11" s="2">
        <v>25668.66</v>
      </c>
    </row>
    <row r="12" spans="1:12" ht="15" customHeight="1" x14ac:dyDescent="0.3">
      <c r="A12" s="2">
        <v>100011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76</v>
      </c>
      <c r="H12" s="2">
        <v>2</v>
      </c>
      <c r="I12" s="2">
        <v>2484.88</v>
      </c>
      <c r="J12" s="2">
        <v>1366.68</v>
      </c>
      <c r="K12" s="2">
        <v>0.1</v>
      </c>
      <c r="L12" s="2">
        <v>4472.78</v>
      </c>
    </row>
    <row r="13" spans="1:12" ht="15" customHeight="1" x14ac:dyDescent="0.3">
      <c r="A13" s="2">
        <v>100012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2">
        <v>12</v>
      </c>
      <c r="I13" s="2">
        <v>3000.53</v>
      </c>
      <c r="J13" s="2">
        <v>1500.26</v>
      </c>
      <c r="K13" s="2">
        <v>0.1</v>
      </c>
      <c r="L13" s="2">
        <v>32405.69</v>
      </c>
    </row>
    <row r="14" spans="1:12" ht="15" customHeight="1" x14ac:dyDescent="0.3">
      <c r="A14" s="2">
        <v>100013</v>
      </c>
      <c r="B14" s="2" t="s">
        <v>83</v>
      </c>
      <c r="C14" s="2" t="s">
        <v>84</v>
      </c>
      <c r="D14" s="2" t="s">
        <v>38</v>
      </c>
      <c r="E14" s="2" t="s">
        <v>85</v>
      </c>
      <c r="F14" s="2" t="s">
        <v>86</v>
      </c>
      <c r="G14" s="2" t="s">
        <v>87</v>
      </c>
      <c r="H14" s="2">
        <v>12</v>
      </c>
      <c r="I14" s="2">
        <v>61634.78</v>
      </c>
      <c r="J14" s="2">
        <v>36980.870000000003</v>
      </c>
      <c r="K14" s="2">
        <v>0.2</v>
      </c>
      <c r="L14" s="2">
        <v>591693.88</v>
      </c>
    </row>
    <row r="15" spans="1:12" ht="15" customHeight="1" x14ac:dyDescent="0.3">
      <c r="A15" s="2">
        <v>100014</v>
      </c>
      <c r="B15" s="2" t="s">
        <v>88</v>
      </c>
      <c r="C15" s="2" t="s">
        <v>89</v>
      </c>
      <c r="D15" s="2" t="s">
        <v>59</v>
      </c>
      <c r="E15" s="2" t="s">
        <v>85</v>
      </c>
      <c r="F15" s="2" t="s">
        <v>86</v>
      </c>
      <c r="G15" s="2" t="s">
        <v>90</v>
      </c>
      <c r="H15" s="2">
        <v>4</v>
      </c>
      <c r="I15" s="2">
        <v>43722.92</v>
      </c>
      <c r="J15" s="2">
        <v>28419.9</v>
      </c>
      <c r="K15" s="2">
        <v>0.1</v>
      </c>
      <c r="L15" s="2"/>
    </row>
    <row r="16" spans="1:12" ht="15" customHeight="1" x14ac:dyDescent="0.3">
      <c r="A16" s="2">
        <v>100015</v>
      </c>
      <c r="B16" s="2" t="s">
        <v>42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95</v>
      </c>
      <c r="H16" s="2">
        <v>4</v>
      </c>
      <c r="I16" s="2">
        <v>10544.14</v>
      </c>
      <c r="J16" s="2">
        <v>6115.6</v>
      </c>
      <c r="K16" s="2">
        <v>0.1</v>
      </c>
      <c r="L16" s="2">
        <v>37958.89</v>
      </c>
    </row>
    <row r="17" spans="1:12" ht="15" customHeight="1" x14ac:dyDescent="0.3">
      <c r="A17" s="2">
        <v>100016</v>
      </c>
      <c r="B17" s="2" t="s">
        <v>96</v>
      </c>
      <c r="C17" s="2" t="s">
        <v>97</v>
      </c>
      <c r="D17" s="2" t="s">
        <v>98</v>
      </c>
      <c r="E17" s="2" t="s">
        <v>27</v>
      </c>
      <c r="F17" s="2" t="s">
        <v>99</v>
      </c>
      <c r="G17" s="2" t="s">
        <v>67</v>
      </c>
      <c r="H17" s="2">
        <v>2</v>
      </c>
      <c r="I17" s="2">
        <v>7368.22</v>
      </c>
      <c r="J17" s="2">
        <v>4568.3</v>
      </c>
      <c r="K17" s="2"/>
      <c r="L17" s="2">
        <v>14736.44</v>
      </c>
    </row>
    <row r="18" spans="1:12" ht="15" customHeight="1" x14ac:dyDescent="0.3">
      <c r="A18" s="2">
        <v>100017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104</v>
      </c>
      <c r="G18" s="2" t="s">
        <v>105</v>
      </c>
      <c r="H18" s="2">
        <v>3</v>
      </c>
      <c r="I18" s="2">
        <v>3008.23</v>
      </c>
      <c r="J18" s="2">
        <v>1865.1</v>
      </c>
      <c r="K18" s="2">
        <v>0.05</v>
      </c>
      <c r="L18" s="2">
        <v>8573.4500000000007</v>
      </c>
    </row>
    <row r="19" spans="1:12" ht="15" customHeight="1" x14ac:dyDescent="0.3">
      <c r="A19" s="2">
        <v>100018</v>
      </c>
      <c r="B19" s="2" t="s">
        <v>106</v>
      </c>
      <c r="C19" s="2" t="s">
        <v>107</v>
      </c>
      <c r="D19" s="2" t="s">
        <v>108</v>
      </c>
      <c r="E19" s="2" t="s">
        <v>85</v>
      </c>
      <c r="F19" s="2" t="s">
        <v>109</v>
      </c>
      <c r="G19" s="2" t="s">
        <v>110</v>
      </c>
      <c r="H19" s="2">
        <v>5</v>
      </c>
      <c r="I19" s="2">
        <v>1164.6099999999999</v>
      </c>
      <c r="J19" s="2">
        <v>698.77</v>
      </c>
      <c r="K19" s="2"/>
      <c r="L19" s="2">
        <v>4658.43</v>
      </c>
    </row>
    <row r="20" spans="1:12" ht="15" customHeight="1" x14ac:dyDescent="0.3">
      <c r="A20" s="2">
        <v>100019</v>
      </c>
      <c r="B20" s="2" t="s">
        <v>111</v>
      </c>
      <c r="C20" s="2" t="s">
        <v>112</v>
      </c>
      <c r="D20" s="2" t="s">
        <v>20</v>
      </c>
      <c r="E20" s="2" t="s">
        <v>85</v>
      </c>
      <c r="F20" s="2" t="s">
        <v>109</v>
      </c>
      <c r="G20" s="2" t="s">
        <v>110</v>
      </c>
      <c r="H20" s="2">
        <v>5</v>
      </c>
      <c r="I20" s="2">
        <v>1234.3499999999999</v>
      </c>
      <c r="J20" s="2">
        <v>740.61</v>
      </c>
      <c r="K20" s="2">
        <v>0.15</v>
      </c>
      <c r="L20" s="2">
        <v>5246</v>
      </c>
    </row>
    <row r="21" spans="1:12" ht="15" customHeight="1" x14ac:dyDescent="0.3">
      <c r="A21" s="2">
        <v>100020</v>
      </c>
      <c r="B21" s="2" t="s">
        <v>113</v>
      </c>
      <c r="C21" s="2" t="s">
        <v>114</v>
      </c>
      <c r="D21" s="2" t="s">
        <v>32</v>
      </c>
      <c r="E21" s="2" t="s">
        <v>27</v>
      </c>
      <c r="F21" s="2" t="s">
        <v>115</v>
      </c>
      <c r="G21" s="2" t="s">
        <v>116</v>
      </c>
      <c r="H21" s="2">
        <v>12</v>
      </c>
      <c r="I21" s="2">
        <v>3425.29</v>
      </c>
      <c r="J21" s="2">
        <v>2055.17</v>
      </c>
      <c r="K21" s="2">
        <v>0.15</v>
      </c>
      <c r="L21" s="2">
        <v>34937.97</v>
      </c>
    </row>
    <row r="22" spans="1:12" ht="15" customHeight="1" x14ac:dyDescent="0.3">
      <c r="A22" s="2">
        <v>100021</v>
      </c>
      <c r="B22" s="2" t="s">
        <v>117</v>
      </c>
      <c r="C22" s="2" t="s">
        <v>118</v>
      </c>
      <c r="D22" s="2" t="s">
        <v>92</v>
      </c>
      <c r="E22" s="2" t="s">
        <v>65</v>
      </c>
      <c r="F22" s="2" t="s">
        <v>66</v>
      </c>
      <c r="G22" s="2" t="s">
        <v>41</v>
      </c>
      <c r="H22" s="2">
        <v>6</v>
      </c>
      <c r="I22" s="2">
        <v>5547.71</v>
      </c>
      <c r="J22" s="2">
        <v>3606.01</v>
      </c>
      <c r="K22" s="2">
        <v>0.2</v>
      </c>
      <c r="L22" s="2">
        <v>26629.02</v>
      </c>
    </row>
    <row r="23" spans="1:12" ht="15" customHeight="1" x14ac:dyDescent="0.3">
      <c r="A23" s="2">
        <v>100022</v>
      </c>
      <c r="B23" s="2" t="s">
        <v>119</v>
      </c>
      <c r="C23" s="2" t="s">
        <v>120</v>
      </c>
      <c r="D23" s="2" t="s">
        <v>121</v>
      </c>
      <c r="E23" s="2" t="s">
        <v>93</v>
      </c>
      <c r="F23" s="2" t="s">
        <v>94</v>
      </c>
      <c r="G23" s="2" t="s">
        <v>95</v>
      </c>
      <c r="H23" s="2">
        <v>1</v>
      </c>
      <c r="I23" s="2">
        <v>9538.51</v>
      </c>
      <c r="J23" s="2">
        <v>5532.33</v>
      </c>
      <c r="K23" s="2">
        <v>0.05</v>
      </c>
      <c r="L23" s="2">
        <v>9061.58</v>
      </c>
    </row>
    <row r="24" spans="1:12" ht="15" customHeight="1" x14ac:dyDescent="0.3">
      <c r="A24" s="2">
        <v>100023</v>
      </c>
      <c r="B24" s="2" t="s">
        <v>122</v>
      </c>
      <c r="C24" s="2" t="s">
        <v>123</v>
      </c>
      <c r="D24" s="2" t="s">
        <v>26</v>
      </c>
      <c r="E24" s="2" t="s">
        <v>124</v>
      </c>
      <c r="F24" s="2" t="s">
        <v>125</v>
      </c>
      <c r="G24" s="2" t="s">
        <v>61</v>
      </c>
      <c r="H24" s="2">
        <v>4</v>
      </c>
      <c r="I24" s="2">
        <v>209.68</v>
      </c>
      <c r="J24" s="2">
        <v>104.84</v>
      </c>
      <c r="K24" s="2">
        <v>0</v>
      </c>
      <c r="L24" s="2">
        <v>838.71</v>
      </c>
    </row>
    <row r="25" spans="1:12" ht="15" customHeight="1" x14ac:dyDescent="0.3">
      <c r="A25" s="2">
        <v>100024</v>
      </c>
      <c r="B25" s="2" t="s">
        <v>126</v>
      </c>
      <c r="C25" s="2" t="s">
        <v>127</v>
      </c>
      <c r="D25" s="2" t="s">
        <v>59</v>
      </c>
      <c r="E25" s="2" t="s">
        <v>128</v>
      </c>
      <c r="F25" s="2" t="s">
        <v>129</v>
      </c>
      <c r="G25" s="2" t="s">
        <v>23</v>
      </c>
      <c r="H25" s="2">
        <v>10</v>
      </c>
      <c r="I25" s="2">
        <v>10213.73</v>
      </c>
      <c r="J25" s="2">
        <v>6332.51</v>
      </c>
      <c r="K25" s="2">
        <v>0.05</v>
      </c>
      <c r="L25" s="2">
        <v>97030.43</v>
      </c>
    </row>
    <row r="26" spans="1:12" ht="15" customHeight="1" x14ac:dyDescent="0.3">
      <c r="A26" s="2">
        <v>100025</v>
      </c>
      <c r="B26" s="2" t="s">
        <v>130</v>
      </c>
      <c r="C26" s="2" t="s">
        <v>131</v>
      </c>
      <c r="D26" s="2" t="s">
        <v>26</v>
      </c>
      <c r="E26" s="2" t="s">
        <v>74</v>
      </c>
      <c r="F26" s="2" t="s">
        <v>132</v>
      </c>
      <c r="G26" s="2" t="s">
        <v>110</v>
      </c>
      <c r="H26" s="2">
        <v>7</v>
      </c>
      <c r="I26" s="2">
        <v>1150.92</v>
      </c>
      <c r="J26" s="2">
        <v>690.55</v>
      </c>
      <c r="K26" s="2">
        <v>0.15</v>
      </c>
      <c r="L26" s="2">
        <v>6847.95</v>
      </c>
    </row>
    <row r="27" spans="1:12" ht="15" customHeight="1" x14ac:dyDescent="0.3">
      <c r="A27" s="2">
        <v>100026</v>
      </c>
      <c r="B27" s="2" t="s">
        <v>133</v>
      </c>
      <c r="C27" s="2" t="s">
        <v>134</v>
      </c>
      <c r="D27" s="2" t="s">
        <v>121</v>
      </c>
      <c r="E27" s="2" t="s">
        <v>39</v>
      </c>
      <c r="F27" s="2" t="s">
        <v>28</v>
      </c>
      <c r="G27" s="2" t="s">
        <v>29</v>
      </c>
      <c r="H27" s="2">
        <v>11</v>
      </c>
      <c r="I27" s="2">
        <v>4922.1099999999997</v>
      </c>
      <c r="J27" s="2">
        <v>3100.93</v>
      </c>
      <c r="K27" s="2">
        <v>0</v>
      </c>
      <c r="L27" s="2">
        <v>54143.21</v>
      </c>
    </row>
    <row r="28" spans="1:12" ht="15" customHeight="1" x14ac:dyDescent="0.3">
      <c r="A28" s="2">
        <v>100027</v>
      </c>
      <c r="B28" s="2" t="s">
        <v>135</v>
      </c>
      <c r="C28" s="2" t="s">
        <v>136</v>
      </c>
      <c r="D28" s="2" t="s">
        <v>73</v>
      </c>
      <c r="E28" s="2" t="s">
        <v>137</v>
      </c>
      <c r="F28" s="2" t="s">
        <v>81</v>
      </c>
      <c r="G28" s="2" t="s">
        <v>138</v>
      </c>
      <c r="H28" s="2">
        <v>12</v>
      </c>
      <c r="I28" s="2">
        <v>2138.5300000000002</v>
      </c>
      <c r="J28" s="2">
        <v>1069.27</v>
      </c>
      <c r="K28" s="2">
        <v>0</v>
      </c>
      <c r="L28" s="2">
        <v>25662.38</v>
      </c>
    </row>
    <row r="29" spans="1:12" ht="15" customHeight="1" x14ac:dyDescent="0.3">
      <c r="A29" s="2">
        <v>100028</v>
      </c>
      <c r="B29" s="2" t="s">
        <v>139</v>
      </c>
      <c r="C29" s="2" t="s">
        <v>140</v>
      </c>
      <c r="D29" s="2" t="s">
        <v>59</v>
      </c>
      <c r="E29" s="2" t="s">
        <v>137</v>
      </c>
      <c r="F29" s="2" t="s">
        <v>141</v>
      </c>
      <c r="G29" s="2" t="s">
        <v>142</v>
      </c>
      <c r="H29" s="2">
        <v>12</v>
      </c>
      <c r="I29" s="2">
        <v>1560.79</v>
      </c>
      <c r="J29" s="2">
        <v>780.39</v>
      </c>
      <c r="K29" s="2">
        <v>0.1</v>
      </c>
      <c r="L29" s="2">
        <v>16856.52</v>
      </c>
    </row>
    <row r="30" spans="1:12" ht="15" customHeight="1" x14ac:dyDescent="0.3">
      <c r="A30" s="2">
        <v>100029</v>
      </c>
      <c r="B30" s="2" t="s">
        <v>143</v>
      </c>
      <c r="C30" s="2" t="s">
        <v>144</v>
      </c>
      <c r="D30" s="2" t="s">
        <v>92</v>
      </c>
      <c r="E30" s="2" t="s">
        <v>21</v>
      </c>
      <c r="F30" s="2" t="s">
        <v>145</v>
      </c>
      <c r="G30" s="2" t="s">
        <v>76</v>
      </c>
      <c r="H30" s="2">
        <v>8</v>
      </c>
      <c r="I30" s="2">
        <v>2418.34</v>
      </c>
      <c r="J30" s="2">
        <v>1330.08</v>
      </c>
      <c r="K30" s="2">
        <v>0.1</v>
      </c>
      <c r="L30" s="2">
        <v>17412.009999999998</v>
      </c>
    </row>
    <row r="31" spans="1:12" ht="15" customHeight="1" x14ac:dyDescent="0.3">
      <c r="A31" s="2">
        <v>100030</v>
      </c>
      <c r="B31" s="2" t="s">
        <v>146</v>
      </c>
      <c r="C31" s="2" t="s">
        <v>147</v>
      </c>
      <c r="D31" s="2" t="s">
        <v>26</v>
      </c>
      <c r="E31" s="2" t="s">
        <v>148</v>
      </c>
      <c r="F31" s="2" t="s">
        <v>149</v>
      </c>
      <c r="G31" s="2" t="s">
        <v>150</v>
      </c>
      <c r="H31" s="2">
        <v>11</v>
      </c>
      <c r="I31" s="2">
        <v>1873.5</v>
      </c>
      <c r="J31" s="2">
        <v>936.75</v>
      </c>
      <c r="K31" s="2">
        <v>0.2</v>
      </c>
      <c r="L31" s="2">
        <v>16486.759999999998</v>
      </c>
    </row>
    <row r="32" spans="1:12" ht="15" customHeight="1" x14ac:dyDescent="0.3">
      <c r="A32" s="2">
        <v>100031</v>
      </c>
      <c r="B32" s="2" t="s">
        <v>151</v>
      </c>
      <c r="C32" s="2" t="s">
        <v>152</v>
      </c>
      <c r="D32" s="2" t="s">
        <v>121</v>
      </c>
      <c r="E32" s="2" t="s">
        <v>137</v>
      </c>
      <c r="F32" s="2" t="s">
        <v>153</v>
      </c>
      <c r="G32" s="2" t="s">
        <v>82</v>
      </c>
      <c r="H32" s="2">
        <v>2</v>
      </c>
      <c r="I32" s="2">
        <v>2811.01</v>
      </c>
      <c r="J32" s="2">
        <v>1405.51</v>
      </c>
      <c r="K32" s="2">
        <v>0.05</v>
      </c>
      <c r="L32" s="2">
        <v>5340.92</v>
      </c>
    </row>
    <row r="33" spans="1:12" ht="15" customHeight="1" x14ac:dyDescent="0.3">
      <c r="A33" s="2">
        <v>100032</v>
      </c>
      <c r="B33" s="2" t="s">
        <v>113</v>
      </c>
      <c r="C33" s="2" t="s">
        <v>154</v>
      </c>
      <c r="D33" s="2" t="s">
        <v>155</v>
      </c>
      <c r="E33" s="2" t="s">
        <v>54</v>
      </c>
      <c r="F33" s="2" t="s">
        <v>156</v>
      </c>
      <c r="G33" s="2" t="s">
        <v>157</v>
      </c>
      <c r="H33" s="2">
        <v>5</v>
      </c>
      <c r="I33" s="2">
        <v>681.17</v>
      </c>
      <c r="J33" s="2">
        <v>306.52999999999997</v>
      </c>
      <c r="K33" s="2">
        <v>0.2</v>
      </c>
      <c r="L33" s="2">
        <v>2724.67</v>
      </c>
    </row>
    <row r="34" spans="1:12" ht="15" customHeight="1" x14ac:dyDescent="0.3">
      <c r="A34" s="2">
        <v>100033</v>
      </c>
      <c r="B34" s="2" t="s">
        <v>158</v>
      </c>
      <c r="C34" s="2" t="s">
        <v>159</v>
      </c>
      <c r="D34" s="2" t="s">
        <v>160</v>
      </c>
      <c r="E34" s="2" t="s">
        <v>27</v>
      </c>
      <c r="F34" s="2" t="s">
        <v>66</v>
      </c>
      <c r="G34" s="2" t="s">
        <v>41</v>
      </c>
      <c r="H34" s="2">
        <v>10</v>
      </c>
      <c r="I34" s="2">
        <v>5321.53</v>
      </c>
      <c r="J34" s="2">
        <v>3458.99</v>
      </c>
      <c r="K34" s="2">
        <v>0</v>
      </c>
      <c r="L34" s="2">
        <v>53215.29</v>
      </c>
    </row>
    <row r="35" spans="1:12" ht="15" customHeight="1" x14ac:dyDescent="0.3">
      <c r="A35" s="2">
        <v>100034</v>
      </c>
      <c r="B35" s="2" t="s">
        <v>57</v>
      </c>
      <c r="C35" s="2" t="s">
        <v>161</v>
      </c>
      <c r="D35" s="2" t="s">
        <v>64</v>
      </c>
      <c r="E35" s="2" t="s">
        <v>137</v>
      </c>
      <c r="F35" s="2" t="s">
        <v>149</v>
      </c>
      <c r="G35" s="2" t="s">
        <v>150</v>
      </c>
      <c r="H35" s="2">
        <v>8</v>
      </c>
      <c r="I35" s="2">
        <v>1809.79</v>
      </c>
      <c r="J35" s="2">
        <v>904.89</v>
      </c>
      <c r="K35" s="2">
        <v>0.1</v>
      </c>
      <c r="L35" s="2">
        <v>13030.47</v>
      </c>
    </row>
    <row r="36" spans="1:12" ht="15" customHeight="1" x14ac:dyDescent="0.3">
      <c r="A36" s="2">
        <v>100035</v>
      </c>
      <c r="B36" s="2" t="s">
        <v>162</v>
      </c>
      <c r="C36" s="2" t="s">
        <v>163</v>
      </c>
      <c r="D36" s="2" t="s">
        <v>44</v>
      </c>
      <c r="E36" s="2" t="s">
        <v>65</v>
      </c>
      <c r="F36" s="2" t="s">
        <v>94</v>
      </c>
      <c r="G36" s="2" t="s">
        <v>95</v>
      </c>
      <c r="H36" s="2">
        <v>11</v>
      </c>
      <c r="I36" s="2">
        <v>9455.73</v>
      </c>
      <c r="J36" s="2">
        <v>5484.32</v>
      </c>
      <c r="K36" s="2">
        <v>0</v>
      </c>
      <c r="L36" s="2">
        <v>104013.05</v>
      </c>
    </row>
    <row r="37" spans="1:12" ht="15" customHeight="1" x14ac:dyDescent="0.3">
      <c r="A37" s="2">
        <v>100036</v>
      </c>
      <c r="B37" s="2" t="s">
        <v>68</v>
      </c>
      <c r="C37" s="2" t="s">
        <v>164</v>
      </c>
      <c r="D37" s="2" t="s">
        <v>59</v>
      </c>
      <c r="E37" s="2" t="s">
        <v>85</v>
      </c>
      <c r="F37" s="2" t="s">
        <v>165</v>
      </c>
      <c r="G37" s="2" t="s">
        <v>166</v>
      </c>
      <c r="H37" s="2">
        <v>11</v>
      </c>
      <c r="I37" s="2">
        <v>22428.91</v>
      </c>
      <c r="J37" s="2">
        <v>13008.77</v>
      </c>
      <c r="K37" s="2">
        <v>0.1</v>
      </c>
      <c r="L37" s="2">
        <v>222046.22</v>
      </c>
    </row>
    <row r="38" spans="1:12" ht="15" customHeight="1" x14ac:dyDescent="0.3">
      <c r="A38" s="2">
        <v>100037</v>
      </c>
      <c r="B38" s="2" t="s">
        <v>167</v>
      </c>
      <c r="C38" s="2" t="s">
        <v>168</v>
      </c>
      <c r="D38" s="2" t="s">
        <v>20</v>
      </c>
      <c r="E38" s="2" t="s">
        <v>85</v>
      </c>
      <c r="F38" s="2" t="s">
        <v>22</v>
      </c>
      <c r="G38" s="2" t="s">
        <v>166</v>
      </c>
      <c r="H38" s="2">
        <v>7</v>
      </c>
      <c r="I38" s="2">
        <v>21755.95</v>
      </c>
      <c r="J38" s="2">
        <v>12618.45</v>
      </c>
      <c r="K38" s="2">
        <v>0</v>
      </c>
      <c r="L38" s="2">
        <v>152291.67000000001</v>
      </c>
    </row>
    <row r="39" spans="1:12" ht="15" customHeight="1" x14ac:dyDescent="0.3">
      <c r="A39" s="2">
        <v>100038</v>
      </c>
      <c r="B39" s="2" t="s">
        <v>169</v>
      </c>
      <c r="C39" s="2" t="s">
        <v>170</v>
      </c>
      <c r="D39" s="2" t="s">
        <v>73</v>
      </c>
      <c r="E39" s="2" t="s">
        <v>103</v>
      </c>
      <c r="F39" s="2" t="s">
        <v>171</v>
      </c>
      <c r="G39" s="2" t="s">
        <v>105</v>
      </c>
      <c r="H39" s="2">
        <v>8</v>
      </c>
      <c r="I39" s="2">
        <v>2919.21</v>
      </c>
      <c r="J39" s="2">
        <v>1809.91</v>
      </c>
      <c r="K39" s="2">
        <v>0.15</v>
      </c>
      <c r="L39" s="2">
        <v>19850.64</v>
      </c>
    </row>
    <row r="40" spans="1:12" ht="15" customHeight="1" x14ac:dyDescent="0.3">
      <c r="A40" s="2">
        <v>100039</v>
      </c>
      <c r="B40" s="2" t="s">
        <v>172</v>
      </c>
      <c r="C40" s="2" t="s">
        <v>173</v>
      </c>
      <c r="D40" s="2" t="s">
        <v>73</v>
      </c>
      <c r="E40" s="2" t="s">
        <v>124</v>
      </c>
      <c r="F40" s="2" t="s">
        <v>174</v>
      </c>
      <c r="G40" s="2" t="s">
        <v>175</v>
      </c>
      <c r="H40" s="2">
        <v>6</v>
      </c>
      <c r="I40" s="2">
        <v>243.41</v>
      </c>
      <c r="J40" s="2">
        <v>121.7</v>
      </c>
      <c r="K40" s="2">
        <v>0</v>
      </c>
      <c r="L40" s="2">
        <v>1460.46</v>
      </c>
    </row>
    <row r="41" spans="1:12" ht="15" customHeight="1" x14ac:dyDescent="0.3">
      <c r="A41" s="2">
        <v>100040</v>
      </c>
      <c r="B41" s="2" t="s">
        <v>176</v>
      </c>
      <c r="C41" s="2" t="s">
        <v>177</v>
      </c>
      <c r="D41" s="2" t="s">
        <v>160</v>
      </c>
      <c r="E41" s="2" t="s">
        <v>148</v>
      </c>
      <c r="F41" s="2" t="s">
        <v>178</v>
      </c>
      <c r="G41" s="2" t="s">
        <v>138</v>
      </c>
      <c r="H41" s="2">
        <v>11</v>
      </c>
      <c r="I41" s="2">
        <v>2293.59</v>
      </c>
      <c r="J41" s="2">
        <v>1146.79</v>
      </c>
      <c r="K41" s="2">
        <v>0.1</v>
      </c>
      <c r="L41" s="2">
        <v>22706.51</v>
      </c>
    </row>
    <row r="42" spans="1:12" ht="15" customHeight="1" x14ac:dyDescent="0.3">
      <c r="A42" s="2">
        <v>100041</v>
      </c>
      <c r="B42" s="2" t="s">
        <v>179</v>
      </c>
      <c r="C42" s="2" t="s">
        <v>180</v>
      </c>
      <c r="D42" s="2" t="s">
        <v>64</v>
      </c>
      <c r="E42" s="2" t="s">
        <v>181</v>
      </c>
      <c r="F42" s="2" t="s">
        <v>182</v>
      </c>
      <c r="G42" s="2" t="s">
        <v>183</v>
      </c>
      <c r="H42" s="2">
        <v>5</v>
      </c>
      <c r="I42" s="2">
        <v>206.36</v>
      </c>
      <c r="J42" s="2">
        <v>99.05</v>
      </c>
      <c r="K42" s="2">
        <v>0</v>
      </c>
      <c r="L42" s="2">
        <v>1031.82</v>
      </c>
    </row>
    <row r="43" spans="1:12" ht="15" customHeight="1" x14ac:dyDescent="0.3">
      <c r="A43" s="2">
        <v>100042</v>
      </c>
      <c r="B43" s="2" t="s">
        <v>184</v>
      </c>
      <c r="C43" s="2" t="s">
        <v>185</v>
      </c>
      <c r="D43" s="2" t="s">
        <v>32</v>
      </c>
      <c r="E43" s="2" t="s">
        <v>85</v>
      </c>
      <c r="F43" s="2" t="s">
        <v>75</v>
      </c>
      <c r="G43" s="2" t="s">
        <v>110</v>
      </c>
      <c r="H43" s="2">
        <v>4</v>
      </c>
      <c r="I43" s="2">
        <v>1196.3</v>
      </c>
      <c r="J43" s="2">
        <v>717.78</v>
      </c>
      <c r="K43" s="2">
        <v>0.05</v>
      </c>
      <c r="L43" s="2">
        <v>4545.93</v>
      </c>
    </row>
    <row r="44" spans="1:12" ht="15" customHeight="1" x14ac:dyDescent="0.3">
      <c r="A44" s="2">
        <v>100043</v>
      </c>
      <c r="B44" s="2" t="s">
        <v>186</v>
      </c>
      <c r="C44" s="2" t="s">
        <v>187</v>
      </c>
      <c r="D44" s="2" t="s">
        <v>38</v>
      </c>
      <c r="E44" s="2" t="s">
        <v>188</v>
      </c>
      <c r="F44" s="2" t="s">
        <v>182</v>
      </c>
      <c r="G44" s="2" t="s">
        <v>183</v>
      </c>
      <c r="H44" s="2">
        <v>8</v>
      </c>
      <c r="I44" s="2">
        <v>208.8</v>
      </c>
      <c r="J44" s="2">
        <v>100.22</v>
      </c>
      <c r="K44" s="2">
        <v>0</v>
      </c>
      <c r="L44" s="2">
        <v>1670.41</v>
      </c>
    </row>
    <row r="45" spans="1:12" ht="15" customHeight="1" x14ac:dyDescent="0.3">
      <c r="A45" s="2">
        <v>100044</v>
      </c>
      <c r="B45" s="2" t="s">
        <v>189</v>
      </c>
      <c r="C45" s="2" t="s">
        <v>190</v>
      </c>
      <c r="D45" s="2" t="s">
        <v>102</v>
      </c>
      <c r="E45" s="2" t="s">
        <v>74</v>
      </c>
      <c r="F45" s="2" t="s">
        <v>75</v>
      </c>
      <c r="G45" s="2" t="s">
        <v>76</v>
      </c>
      <c r="H45" s="2">
        <v>9</v>
      </c>
      <c r="I45" s="2">
        <v>2623.44</v>
      </c>
      <c r="J45" s="2">
        <v>1442.89</v>
      </c>
      <c r="K45" s="2">
        <v>0.1</v>
      </c>
      <c r="L45" s="2">
        <v>21249.9</v>
      </c>
    </row>
    <row r="46" spans="1:12" ht="15" customHeight="1" x14ac:dyDescent="0.3">
      <c r="A46" s="2">
        <v>100045</v>
      </c>
      <c r="B46" s="2" t="s">
        <v>191</v>
      </c>
      <c r="C46" s="2" t="s">
        <v>192</v>
      </c>
      <c r="D46" s="2" t="s">
        <v>98</v>
      </c>
      <c r="E46" s="2" t="s">
        <v>128</v>
      </c>
      <c r="F46" s="2" t="s">
        <v>132</v>
      </c>
      <c r="G46" s="2" t="s">
        <v>193</v>
      </c>
      <c r="H46" s="2">
        <v>4</v>
      </c>
      <c r="I46" s="2">
        <v>3150.09</v>
      </c>
      <c r="J46" s="2">
        <v>1575.05</v>
      </c>
      <c r="K46" s="2">
        <v>0</v>
      </c>
      <c r="L46" s="2">
        <v>12600.37</v>
      </c>
    </row>
    <row r="47" spans="1:12" ht="15" customHeight="1" x14ac:dyDescent="0.3">
      <c r="A47" s="2">
        <v>100046</v>
      </c>
      <c r="B47" s="2" t="s">
        <v>194</v>
      </c>
      <c r="C47" s="2" t="s">
        <v>195</v>
      </c>
      <c r="D47" s="2" t="s">
        <v>64</v>
      </c>
      <c r="E47" s="2" t="s">
        <v>137</v>
      </c>
      <c r="F47" s="2" t="s">
        <v>196</v>
      </c>
      <c r="G47" s="2" t="s">
        <v>56</v>
      </c>
      <c r="H47" s="2">
        <v>5</v>
      </c>
      <c r="I47" s="2">
        <v>473.59</v>
      </c>
      <c r="J47" s="2">
        <v>213.11</v>
      </c>
      <c r="K47" s="2">
        <v>0.15</v>
      </c>
      <c r="L47" s="2">
        <v>2012.75</v>
      </c>
    </row>
    <row r="48" spans="1:12" ht="15" customHeight="1" x14ac:dyDescent="0.3">
      <c r="A48" s="2">
        <v>100047</v>
      </c>
      <c r="B48" s="2" t="s">
        <v>197</v>
      </c>
      <c r="C48" s="2" t="s">
        <v>198</v>
      </c>
      <c r="D48" s="2" t="s">
        <v>79</v>
      </c>
      <c r="E48" s="2" t="s">
        <v>181</v>
      </c>
      <c r="F48" s="2" t="s">
        <v>199</v>
      </c>
      <c r="G48" s="2" t="s">
        <v>200</v>
      </c>
      <c r="H48" s="2">
        <v>8</v>
      </c>
      <c r="I48" s="2">
        <v>187.12</v>
      </c>
      <c r="J48" s="2">
        <v>89.82</v>
      </c>
      <c r="K48" s="2">
        <v>0.15</v>
      </c>
      <c r="L48" s="2">
        <v>1272.3800000000001</v>
      </c>
    </row>
    <row r="49" spans="1:12" ht="15" customHeight="1" x14ac:dyDescent="0.3">
      <c r="A49" s="2">
        <v>100048</v>
      </c>
      <c r="B49" s="2" t="s">
        <v>201</v>
      </c>
      <c r="C49" s="2" t="s">
        <v>202</v>
      </c>
      <c r="D49" s="2" t="s">
        <v>98</v>
      </c>
      <c r="E49" s="2" t="s">
        <v>93</v>
      </c>
      <c r="F49" s="2" t="s">
        <v>99</v>
      </c>
      <c r="G49" s="2" t="s">
        <v>67</v>
      </c>
      <c r="H49" s="2">
        <v>5</v>
      </c>
      <c r="I49" s="2">
        <v>7276.88</v>
      </c>
      <c r="J49" s="2">
        <v>4511.66</v>
      </c>
      <c r="K49" s="2">
        <v>0.2</v>
      </c>
      <c r="L49" s="2">
        <v>29107.5</v>
      </c>
    </row>
    <row r="50" spans="1:12" ht="15" customHeight="1" x14ac:dyDescent="0.3">
      <c r="A50" s="2">
        <v>100049</v>
      </c>
      <c r="B50" s="2" t="s">
        <v>203</v>
      </c>
      <c r="C50" s="2" t="s">
        <v>204</v>
      </c>
      <c r="D50" s="2" t="s">
        <v>32</v>
      </c>
      <c r="E50" s="2" t="s">
        <v>124</v>
      </c>
      <c r="F50" s="2" t="s">
        <v>205</v>
      </c>
      <c r="G50" s="2" t="s">
        <v>206</v>
      </c>
      <c r="H50" s="2">
        <v>6</v>
      </c>
      <c r="I50" s="2">
        <v>280.98</v>
      </c>
      <c r="J50" s="2">
        <v>140.49</v>
      </c>
      <c r="K50" s="2"/>
      <c r="L50" s="2">
        <v>1517.31</v>
      </c>
    </row>
    <row r="51" spans="1:12" ht="15" customHeight="1" x14ac:dyDescent="0.3">
      <c r="A51" s="2">
        <v>100050</v>
      </c>
      <c r="B51" s="2" t="s">
        <v>207</v>
      </c>
      <c r="C51" s="2" t="s">
        <v>208</v>
      </c>
      <c r="D51" s="2" t="s">
        <v>209</v>
      </c>
      <c r="E51" s="2" t="s">
        <v>210</v>
      </c>
      <c r="F51" s="2" t="s">
        <v>211</v>
      </c>
      <c r="G51" s="2" t="s">
        <v>142</v>
      </c>
      <c r="H51" s="2">
        <v>4</v>
      </c>
      <c r="I51" s="2">
        <v>1526.1</v>
      </c>
      <c r="J51" s="2">
        <v>763.05</v>
      </c>
      <c r="K51" s="2">
        <v>0.1</v>
      </c>
      <c r="L51" s="2">
        <v>5493.94</v>
      </c>
    </row>
    <row r="52" spans="1:12" ht="15" customHeight="1" x14ac:dyDescent="0.3">
      <c r="A52" s="2">
        <v>100051</v>
      </c>
      <c r="B52" s="2" t="s">
        <v>212</v>
      </c>
      <c r="C52" s="2" t="s">
        <v>213</v>
      </c>
      <c r="D52" s="2" t="s">
        <v>47</v>
      </c>
      <c r="E52" s="2" t="s">
        <v>65</v>
      </c>
      <c r="F52" s="2" t="s">
        <v>214</v>
      </c>
      <c r="G52" s="2" t="s">
        <v>116</v>
      </c>
      <c r="H52" s="2">
        <v>9</v>
      </c>
      <c r="I52" s="2">
        <v>3410.33</v>
      </c>
      <c r="J52" s="2">
        <v>2046.2</v>
      </c>
      <c r="K52" s="2">
        <v>0</v>
      </c>
      <c r="L52" s="2">
        <v>30692.99</v>
      </c>
    </row>
    <row r="53" spans="1:12" ht="15" customHeight="1" x14ac:dyDescent="0.3">
      <c r="A53" s="2">
        <v>100052</v>
      </c>
      <c r="B53" s="2" t="s">
        <v>215</v>
      </c>
      <c r="C53" s="2" t="s">
        <v>216</v>
      </c>
      <c r="D53" s="2" t="s">
        <v>121</v>
      </c>
      <c r="E53" s="2" t="s">
        <v>148</v>
      </c>
      <c r="F53" s="2" t="s">
        <v>153</v>
      </c>
      <c r="G53" s="2" t="s">
        <v>138</v>
      </c>
      <c r="H53" s="2">
        <v>4</v>
      </c>
      <c r="I53" s="2">
        <v>2353.65</v>
      </c>
      <c r="J53" s="2">
        <v>1176.83</v>
      </c>
      <c r="K53" s="2">
        <v>0.1</v>
      </c>
      <c r="L53" s="2">
        <v>8473.16</v>
      </c>
    </row>
    <row r="54" spans="1:12" ht="15" customHeight="1" x14ac:dyDescent="0.3">
      <c r="A54" s="2">
        <v>100053</v>
      </c>
      <c r="B54" s="2" t="s">
        <v>217</v>
      </c>
      <c r="C54" s="2" t="s">
        <v>218</v>
      </c>
      <c r="D54" s="2" t="s">
        <v>79</v>
      </c>
      <c r="E54" s="2" t="s">
        <v>124</v>
      </c>
      <c r="F54" s="2" t="s">
        <v>199</v>
      </c>
      <c r="G54" s="2" t="s">
        <v>200</v>
      </c>
      <c r="H54" s="2">
        <v>8</v>
      </c>
      <c r="I54" s="2">
        <v>183.6</v>
      </c>
      <c r="J54" s="2">
        <v>88.13</v>
      </c>
      <c r="K54" s="2">
        <v>0.05</v>
      </c>
      <c r="L54" s="2">
        <v>1395.38</v>
      </c>
    </row>
    <row r="55" spans="1:12" ht="15" customHeight="1" x14ac:dyDescent="0.3">
      <c r="A55" s="2">
        <v>100054</v>
      </c>
      <c r="B55" s="2" t="s">
        <v>219</v>
      </c>
      <c r="C55" s="2" t="s">
        <v>220</v>
      </c>
      <c r="D55" s="2" t="s">
        <v>64</v>
      </c>
      <c r="E55" s="2" t="s">
        <v>137</v>
      </c>
      <c r="F55" s="2" t="s">
        <v>141</v>
      </c>
      <c r="G55" s="2" t="s">
        <v>221</v>
      </c>
      <c r="H55" s="2">
        <v>11</v>
      </c>
      <c r="I55" s="2">
        <v>1895.42</v>
      </c>
      <c r="J55" s="2">
        <v>947.71</v>
      </c>
      <c r="K55" s="2">
        <v>0.15</v>
      </c>
      <c r="L55" s="2">
        <v>17722.18</v>
      </c>
    </row>
    <row r="56" spans="1:12" ht="15" customHeight="1" x14ac:dyDescent="0.3">
      <c r="A56" s="2">
        <v>100055</v>
      </c>
      <c r="B56" s="2" t="s">
        <v>130</v>
      </c>
      <c r="C56" s="2" t="s">
        <v>222</v>
      </c>
      <c r="D56" s="2" t="s">
        <v>209</v>
      </c>
      <c r="E56" s="2" t="s">
        <v>27</v>
      </c>
      <c r="F56" s="2" t="s">
        <v>223</v>
      </c>
      <c r="G56" s="2" t="s">
        <v>70</v>
      </c>
      <c r="H56" s="2">
        <v>2</v>
      </c>
      <c r="I56" s="2">
        <v>5661.79</v>
      </c>
      <c r="J56" s="2">
        <v>3397.07</v>
      </c>
      <c r="K56" s="2">
        <v>0.05</v>
      </c>
      <c r="L56" s="2">
        <v>10757.4</v>
      </c>
    </row>
    <row r="57" spans="1:12" ht="15" customHeight="1" x14ac:dyDescent="0.3">
      <c r="A57" s="2">
        <v>100056</v>
      </c>
      <c r="B57" s="2" t="s">
        <v>224</v>
      </c>
      <c r="C57" s="2" t="s">
        <v>225</v>
      </c>
      <c r="D57" s="2" t="s">
        <v>73</v>
      </c>
      <c r="E57" s="2" t="s">
        <v>74</v>
      </c>
      <c r="F57" s="2" t="s">
        <v>226</v>
      </c>
      <c r="G57" s="2" t="s">
        <v>90</v>
      </c>
      <c r="H57" s="2">
        <v>11</v>
      </c>
      <c r="I57" s="2">
        <v>46753.74</v>
      </c>
      <c r="J57" s="2">
        <v>30389.93</v>
      </c>
      <c r="K57" s="2">
        <v>0.05</v>
      </c>
      <c r="L57" s="2">
        <v>488576.56</v>
      </c>
    </row>
    <row r="58" spans="1:12" ht="15" customHeight="1" x14ac:dyDescent="0.3">
      <c r="A58" s="2">
        <v>100057</v>
      </c>
      <c r="B58" s="2" t="s">
        <v>227</v>
      </c>
      <c r="C58" s="2" t="s">
        <v>228</v>
      </c>
      <c r="D58" s="2" t="s">
        <v>32</v>
      </c>
      <c r="E58" s="2" t="s">
        <v>85</v>
      </c>
      <c r="F58" s="2" t="s">
        <v>129</v>
      </c>
      <c r="G58" s="2" t="s">
        <v>229</v>
      </c>
      <c r="H58" s="2">
        <v>6</v>
      </c>
      <c r="I58" s="2">
        <v>14083.85</v>
      </c>
      <c r="J58" s="2">
        <v>8450.31</v>
      </c>
      <c r="K58" s="2">
        <v>0</v>
      </c>
      <c r="L58" s="2">
        <v>84503.1</v>
      </c>
    </row>
    <row r="59" spans="1:12" ht="15" customHeight="1" x14ac:dyDescent="0.3">
      <c r="A59" s="2">
        <v>100058</v>
      </c>
      <c r="B59" s="2" t="s">
        <v>230</v>
      </c>
      <c r="C59" s="2" t="s">
        <v>231</v>
      </c>
      <c r="D59" s="2" t="s">
        <v>160</v>
      </c>
      <c r="E59" s="2" t="s">
        <v>232</v>
      </c>
      <c r="F59" s="2" t="s">
        <v>199</v>
      </c>
      <c r="G59" s="2" t="s">
        <v>183</v>
      </c>
      <c r="H59" s="2">
        <v>11</v>
      </c>
      <c r="I59" s="2">
        <v>199.76</v>
      </c>
      <c r="J59" s="2">
        <v>95.88</v>
      </c>
      <c r="K59" s="2">
        <v>0.2</v>
      </c>
      <c r="L59" s="2">
        <v>1757.86</v>
      </c>
    </row>
    <row r="60" spans="1:12" ht="15" customHeight="1" x14ac:dyDescent="0.3">
      <c r="A60" s="2">
        <v>100059</v>
      </c>
      <c r="B60" s="2" t="s">
        <v>233</v>
      </c>
      <c r="C60" s="2" t="s">
        <v>234</v>
      </c>
      <c r="D60" s="2" t="s">
        <v>108</v>
      </c>
      <c r="E60" s="2" t="s">
        <v>80</v>
      </c>
      <c r="F60" s="2" t="s">
        <v>235</v>
      </c>
      <c r="G60" s="2" t="s">
        <v>150</v>
      </c>
      <c r="H60" s="2">
        <v>7</v>
      </c>
      <c r="I60" s="2">
        <v>2015.77</v>
      </c>
      <c r="J60" s="2">
        <v>1007.89</v>
      </c>
      <c r="K60" s="2">
        <v>0</v>
      </c>
      <c r="L60" s="2">
        <v>14110.42</v>
      </c>
    </row>
    <row r="61" spans="1:12" ht="15" customHeight="1" x14ac:dyDescent="0.3">
      <c r="A61" s="2">
        <v>100060</v>
      </c>
      <c r="B61" s="2" t="s">
        <v>236</v>
      </c>
      <c r="C61" s="2" t="s">
        <v>237</v>
      </c>
      <c r="D61" s="2" t="s">
        <v>209</v>
      </c>
      <c r="E61" s="2" t="s">
        <v>80</v>
      </c>
      <c r="F61" s="2" t="s">
        <v>235</v>
      </c>
      <c r="G61" s="2" t="s">
        <v>150</v>
      </c>
      <c r="H61" s="2">
        <v>10</v>
      </c>
      <c r="I61" s="2">
        <v>2003.08</v>
      </c>
      <c r="J61" s="2">
        <v>1001.54</v>
      </c>
      <c r="K61" s="2">
        <v>0</v>
      </c>
      <c r="L61" s="2">
        <v>20030.77</v>
      </c>
    </row>
    <row r="62" spans="1:12" ht="15" customHeight="1" x14ac:dyDescent="0.3">
      <c r="A62" s="2">
        <v>100061</v>
      </c>
      <c r="B62" s="2" t="s">
        <v>238</v>
      </c>
      <c r="C62" s="2" t="s">
        <v>239</v>
      </c>
      <c r="D62" s="2" t="s">
        <v>121</v>
      </c>
      <c r="E62" s="2" t="s">
        <v>21</v>
      </c>
      <c r="F62" s="2" t="s">
        <v>22</v>
      </c>
      <c r="G62" s="2" t="s">
        <v>229</v>
      </c>
      <c r="H62" s="2">
        <v>12</v>
      </c>
      <c r="I62" s="2">
        <v>14056.22</v>
      </c>
      <c r="J62" s="2">
        <v>8433.73</v>
      </c>
      <c r="K62" s="2">
        <v>0</v>
      </c>
      <c r="L62" s="2">
        <v>168674.59</v>
      </c>
    </row>
    <row r="63" spans="1:12" ht="15" customHeight="1" x14ac:dyDescent="0.3">
      <c r="A63" s="2">
        <v>100062</v>
      </c>
      <c r="B63" s="2" t="s">
        <v>240</v>
      </c>
      <c r="C63" s="2" t="s">
        <v>241</v>
      </c>
      <c r="D63" s="2" t="s">
        <v>102</v>
      </c>
      <c r="E63" s="2" t="s">
        <v>21</v>
      </c>
      <c r="F63" s="2" t="s">
        <v>242</v>
      </c>
      <c r="G63" s="2" t="s">
        <v>243</v>
      </c>
      <c r="H63" s="2">
        <v>3</v>
      </c>
      <c r="I63" s="2">
        <v>2305.69</v>
      </c>
      <c r="J63" s="2">
        <v>1268.1300000000001</v>
      </c>
      <c r="K63" s="2">
        <v>0</v>
      </c>
      <c r="L63" s="2">
        <v>6917.06</v>
      </c>
    </row>
    <row r="64" spans="1:12" ht="15" customHeight="1" x14ac:dyDescent="0.3">
      <c r="A64" s="2">
        <v>100063</v>
      </c>
      <c r="B64" s="2" t="s">
        <v>244</v>
      </c>
      <c r="C64" s="2" t="s">
        <v>245</v>
      </c>
      <c r="D64" s="2" t="s">
        <v>64</v>
      </c>
      <c r="E64" s="2" t="s">
        <v>80</v>
      </c>
      <c r="F64" s="2" t="s">
        <v>246</v>
      </c>
      <c r="G64" s="2" t="s">
        <v>150</v>
      </c>
      <c r="H64" s="2">
        <v>11</v>
      </c>
      <c r="I64" s="2">
        <v>1862.75</v>
      </c>
      <c r="J64" s="2">
        <v>931.38</v>
      </c>
      <c r="K64" s="2">
        <v>0</v>
      </c>
      <c r="L64" s="2">
        <v>20490.29</v>
      </c>
    </row>
    <row r="65" spans="1:12" ht="15" customHeight="1" x14ac:dyDescent="0.3">
      <c r="A65" s="2">
        <v>100064</v>
      </c>
      <c r="B65" s="2" t="s">
        <v>247</v>
      </c>
      <c r="C65" s="2" t="s">
        <v>248</v>
      </c>
      <c r="D65" s="2" t="s">
        <v>47</v>
      </c>
      <c r="E65" s="2" t="s">
        <v>85</v>
      </c>
      <c r="F65" s="2" t="s">
        <v>226</v>
      </c>
      <c r="G65" s="2" t="s">
        <v>87</v>
      </c>
      <c r="H65" s="2">
        <v>8</v>
      </c>
      <c r="I65" s="2">
        <v>59835.93</v>
      </c>
      <c r="J65" s="2">
        <v>35901.56</v>
      </c>
      <c r="K65" s="2">
        <v>0</v>
      </c>
      <c r="L65" s="2">
        <v>478687.45</v>
      </c>
    </row>
    <row r="66" spans="1:12" ht="15" customHeight="1" x14ac:dyDescent="0.3">
      <c r="A66" s="2">
        <v>100065</v>
      </c>
      <c r="B66" s="2" t="s">
        <v>249</v>
      </c>
      <c r="C66" s="2" t="s">
        <v>250</v>
      </c>
      <c r="D66" s="2" t="s">
        <v>92</v>
      </c>
      <c r="E66" s="2" t="s">
        <v>74</v>
      </c>
      <c r="F66" s="2" t="s">
        <v>34</v>
      </c>
      <c r="G66" s="2" t="s">
        <v>35</v>
      </c>
      <c r="H66" s="2">
        <v>7</v>
      </c>
      <c r="I66" s="2">
        <v>3323.44</v>
      </c>
      <c r="J66" s="2">
        <v>1661.72</v>
      </c>
      <c r="K66" s="2">
        <v>0.05</v>
      </c>
      <c r="L66" s="2">
        <v>22100.87</v>
      </c>
    </row>
    <row r="67" spans="1:12" ht="15" customHeight="1" x14ac:dyDescent="0.3">
      <c r="A67" s="2">
        <v>100066</v>
      </c>
      <c r="B67" s="2" t="s">
        <v>251</v>
      </c>
      <c r="C67" s="2" t="s">
        <v>252</v>
      </c>
      <c r="D67" s="2" t="s">
        <v>64</v>
      </c>
      <c r="E67" s="2" t="s">
        <v>85</v>
      </c>
      <c r="F67" s="2" t="s">
        <v>253</v>
      </c>
      <c r="G67" s="2" t="s">
        <v>254</v>
      </c>
      <c r="H67" s="2">
        <v>4</v>
      </c>
      <c r="I67" s="2">
        <v>1022.07</v>
      </c>
      <c r="J67" s="2">
        <v>613.24</v>
      </c>
      <c r="K67" s="2">
        <v>0.2</v>
      </c>
      <c r="L67" s="2">
        <v>3270.64</v>
      </c>
    </row>
    <row r="68" spans="1:12" ht="15" customHeight="1" x14ac:dyDescent="0.3">
      <c r="A68" s="2">
        <v>100067</v>
      </c>
      <c r="B68" s="2" t="s">
        <v>255</v>
      </c>
      <c r="C68" s="2" t="s">
        <v>256</v>
      </c>
      <c r="D68" s="2" t="s">
        <v>44</v>
      </c>
      <c r="E68" s="2" t="s">
        <v>93</v>
      </c>
      <c r="F68" s="2" t="s">
        <v>94</v>
      </c>
      <c r="G68" s="2" t="s">
        <v>95</v>
      </c>
      <c r="H68" s="2">
        <v>3</v>
      </c>
      <c r="I68" s="2">
        <v>10314.73</v>
      </c>
      <c r="J68" s="2">
        <v>5982.54</v>
      </c>
      <c r="K68" s="2">
        <v>0.1</v>
      </c>
      <c r="L68" s="2">
        <v>27849.78</v>
      </c>
    </row>
    <row r="69" spans="1:12" ht="15" customHeight="1" x14ac:dyDescent="0.3">
      <c r="A69" s="2">
        <v>100068</v>
      </c>
      <c r="B69" s="2" t="s">
        <v>257</v>
      </c>
      <c r="C69" s="2" t="s">
        <v>258</v>
      </c>
      <c r="D69" s="2" t="s">
        <v>44</v>
      </c>
      <c r="E69" s="2" t="s">
        <v>48</v>
      </c>
      <c r="F69" s="2" t="s">
        <v>205</v>
      </c>
      <c r="G69" s="2" t="s">
        <v>206</v>
      </c>
      <c r="H69" s="2">
        <v>5</v>
      </c>
      <c r="I69" s="2">
        <v>267.91000000000003</v>
      </c>
      <c r="J69" s="2">
        <v>133.94999999999999</v>
      </c>
      <c r="K69" s="2">
        <v>0.15</v>
      </c>
      <c r="L69" s="2">
        <v>1138.6099999999999</v>
      </c>
    </row>
    <row r="70" spans="1:12" ht="15" customHeight="1" x14ac:dyDescent="0.3">
      <c r="A70" s="2">
        <v>100069</v>
      </c>
      <c r="B70" s="2" t="s">
        <v>259</v>
      </c>
      <c r="C70" s="2" t="s">
        <v>260</v>
      </c>
      <c r="D70" s="2" t="s">
        <v>38</v>
      </c>
      <c r="E70" s="2" t="s">
        <v>181</v>
      </c>
      <c r="F70" s="2" t="s">
        <v>261</v>
      </c>
      <c r="G70" s="2" t="s">
        <v>200</v>
      </c>
      <c r="H70" s="2">
        <v>1</v>
      </c>
      <c r="I70" s="2">
        <v>194.37</v>
      </c>
      <c r="J70" s="2">
        <v>93.3</v>
      </c>
      <c r="K70" s="2">
        <v>0.2</v>
      </c>
      <c r="L70" s="2">
        <v>155.49</v>
      </c>
    </row>
    <row r="71" spans="1:12" ht="15" customHeight="1" x14ac:dyDescent="0.3">
      <c r="A71" s="2">
        <v>100070</v>
      </c>
      <c r="B71" s="2" t="s">
        <v>262</v>
      </c>
      <c r="C71" s="2" t="s">
        <v>263</v>
      </c>
      <c r="D71" s="2" t="s">
        <v>79</v>
      </c>
      <c r="E71" s="2" t="s">
        <v>54</v>
      </c>
      <c r="F71" s="2" t="s">
        <v>246</v>
      </c>
      <c r="G71" s="2" t="s">
        <v>264</v>
      </c>
      <c r="H71" s="2">
        <v>9</v>
      </c>
      <c r="I71" s="2">
        <v>2674.63</v>
      </c>
      <c r="J71" s="2">
        <v>1283.82</v>
      </c>
      <c r="K71" s="2">
        <v>0</v>
      </c>
      <c r="L71" s="2">
        <v>24071.71</v>
      </c>
    </row>
    <row r="72" spans="1:12" ht="15" customHeight="1" x14ac:dyDescent="0.3">
      <c r="A72" s="2">
        <v>100071</v>
      </c>
      <c r="B72" s="2" t="s">
        <v>265</v>
      </c>
      <c r="C72" s="2" t="s">
        <v>266</v>
      </c>
      <c r="D72" s="2" t="s">
        <v>102</v>
      </c>
      <c r="E72" s="2" t="s">
        <v>48</v>
      </c>
      <c r="F72" s="2" t="s">
        <v>125</v>
      </c>
      <c r="G72" s="2" t="s">
        <v>61</v>
      </c>
      <c r="H72" s="2">
        <v>11</v>
      </c>
      <c r="I72" s="2">
        <v>235.4</v>
      </c>
      <c r="J72" s="2">
        <v>117.7</v>
      </c>
      <c r="K72" s="2">
        <v>0</v>
      </c>
      <c r="L72" s="2">
        <v>2589.37</v>
      </c>
    </row>
    <row r="73" spans="1:12" ht="15" customHeight="1" x14ac:dyDescent="0.3">
      <c r="A73" s="2">
        <v>100072</v>
      </c>
      <c r="B73" s="2" t="s">
        <v>267</v>
      </c>
      <c r="C73" s="2" t="s">
        <v>268</v>
      </c>
      <c r="D73" s="2" t="s">
        <v>108</v>
      </c>
      <c r="E73" s="2" t="s">
        <v>128</v>
      </c>
      <c r="F73" s="2" t="s">
        <v>253</v>
      </c>
      <c r="G73" s="2" t="s">
        <v>254</v>
      </c>
      <c r="H73" s="2">
        <v>11</v>
      </c>
      <c r="I73" s="2">
        <v>1018.73</v>
      </c>
      <c r="J73" s="2">
        <v>611.24</v>
      </c>
      <c r="K73" s="2">
        <v>0.1</v>
      </c>
      <c r="L73" s="2">
        <v>10085.42</v>
      </c>
    </row>
    <row r="74" spans="1:12" ht="15" customHeight="1" x14ac:dyDescent="0.3">
      <c r="A74" s="2">
        <v>100073</v>
      </c>
      <c r="B74" s="2" t="s">
        <v>269</v>
      </c>
      <c r="C74" s="2" t="s">
        <v>270</v>
      </c>
      <c r="D74" s="2" t="s">
        <v>64</v>
      </c>
      <c r="E74" s="2" t="s">
        <v>74</v>
      </c>
      <c r="F74" s="2" t="s">
        <v>129</v>
      </c>
      <c r="G74" s="2" t="s">
        <v>166</v>
      </c>
      <c r="H74" s="2">
        <v>4</v>
      </c>
      <c r="I74" s="2">
        <v>22153.71</v>
      </c>
      <c r="J74" s="2">
        <v>12849.15</v>
      </c>
      <c r="K74" s="2"/>
      <c r="L74" s="2">
        <v>70891.89</v>
      </c>
    </row>
    <row r="75" spans="1:12" ht="15" customHeight="1" x14ac:dyDescent="0.3">
      <c r="A75" s="2">
        <v>100074</v>
      </c>
      <c r="B75" s="2" t="s">
        <v>271</v>
      </c>
      <c r="C75" s="2" t="s">
        <v>272</v>
      </c>
      <c r="D75" s="2" t="s">
        <v>47</v>
      </c>
      <c r="E75" s="2" t="s">
        <v>54</v>
      </c>
      <c r="F75" s="2" t="s">
        <v>273</v>
      </c>
      <c r="G75" s="2" t="s">
        <v>56</v>
      </c>
      <c r="H75" s="2">
        <v>12</v>
      </c>
      <c r="I75" s="2">
        <v>464.54</v>
      </c>
      <c r="J75" s="2">
        <v>209.04</v>
      </c>
      <c r="K75" s="2">
        <v>0</v>
      </c>
      <c r="L75" s="2">
        <v>5574.49</v>
      </c>
    </row>
    <row r="76" spans="1:12" ht="15" customHeight="1" x14ac:dyDescent="0.3">
      <c r="A76" s="2">
        <v>100075</v>
      </c>
      <c r="B76" s="2" t="s">
        <v>274</v>
      </c>
      <c r="C76" s="2" t="s">
        <v>275</v>
      </c>
      <c r="D76" s="2" t="s">
        <v>38</v>
      </c>
      <c r="E76" s="2" t="s">
        <v>27</v>
      </c>
      <c r="F76" s="2" t="s">
        <v>276</v>
      </c>
      <c r="G76" s="2" t="s">
        <v>277</v>
      </c>
      <c r="H76" s="2">
        <v>1</v>
      </c>
      <c r="I76" s="2">
        <v>4254.2299999999996</v>
      </c>
      <c r="J76" s="2">
        <v>2765.25</v>
      </c>
      <c r="K76" s="2">
        <v>0.05</v>
      </c>
      <c r="L76" s="2">
        <v>4041.51</v>
      </c>
    </row>
    <row r="77" spans="1:12" ht="15" customHeight="1" x14ac:dyDescent="0.3">
      <c r="A77" s="2">
        <v>100076</v>
      </c>
      <c r="B77" s="2" t="s">
        <v>278</v>
      </c>
      <c r="C77" s="2" t="s">
        <v>279</v>
      </c>
      <c r="D77" s="2" t="s">
        <v>160</v>
      </c>
      <c r="E77" s="2" t="s">
        <v>181</v>
      </c>
      <c r="F77" s="2" t="s">
        <v>174</v>
      </c>
      <c r="G77" s="2" t="s">
        <v>206</v>
      </c>
      <c r="H77" s="2">
        <v>7</v>
      </c>
      <c r="I77" s="2">
        <v>301.83</v>
      </c>
      <c r="J77" s="2">
        <v>150.91999999999999</v>
      </c>
      <c r="K77" s="2">
        <v>0</v>
      </c>
      <c r="L77" s="2">
        <v>2112.84</v>
      </c>
    </row>
    <row r="78" spans="1:12" ht="15" customHeight="1" x14ac:dyDescent="0.3">
      <c r="A78" s="2">
        <v>100077</v>
      </c>
      <c r="B78" s="2" t="s">
        <v>280</v>
      </c>
      <c r="C78" s="2" t="s">
        <v>281</v>
      </c>
      <c r="D78" s="2" t="s">
        <v>47</v>
      </c>
      <c r="E78" s="2" t="s">
        <v>188</v>
      </c>
      <c r="F78" s="2" t="s">
        <v>174</v>
      </c>
      <c r="G78" s="2" t="s">
        <v>175</v>
      </c>
      <c r="H78" s="2">
        <v>12</v>
      </c>
      <c r="I78" s="2">
        <v>238.87</v>
      </c>
      <c r="J78" s="2">
        <v>119.44</v>
      </c>
      <c r="K78" s="2">
        <v>0</v>
      </c>
      <c r="L78" s="2">
        <v>2866.5</v>
      </c>
    </row>
    <row r="79" spans="1:12" ht="15" customHeight="1" x14ac:dyDescent="0.3">
      <c r="A79" s="2">
        <v>100078</v>
      </c>
      <c r="B79" s="2" t="s">
        <v>282</v>
      </c>
      <c r="C79" s="2" t="s">
        <v>283</v>
      </c>
      <c r="D79" s="2" t="s">
        <v>79</v>
      </c>
      <c r="E79" s="2" t="s">
        <v>93</v>
      </c>
      <c r="F79" s="2" t="s">
        <v>284</v>
      </c>
      <c r="G79" s="2" t="s">
        <v>29</v>
      </c>
      <c r="H79" s="2">
        <v>2</v>
      </c>
      <c r="I79" s="2">
        <v>4731.83</v>
      </c>
      <c r="J79" s="2">
        <v>2981.05</v>
      </c>
      <c r="K79" s="2">
        <v>0</v>
      </c>
      <c r="L79" s="2">
        <v>9463.66</v>
      </c>
    </row>
    <row r="80" spans="1:12" ht="15" customHeight="1" x14ac:dyDescent="0.3">
      <c r="A80" s="2">
        <v>100079</v>
      </c>
      <c r="B80" s="2" t="s">
        <v>191</v>
      </c>
      <c r="C80" s="2" t="s">
        <v>285</v>
      </c>
      <c r="D80" s="2" t="s">
        <v>20</v>
      </c>
      <c r="E80" s="2" t="s">
        <v>93</v>
      </c>
      <c r="F80" s="2" t="s">
        <v>214</v>
      </c>
      <c r="G80" s="2" t="s">
        <v>105</v>
      </c>
      <c r="H80" s="2">
        <v>12</v>
      </c>
      <c r="I80" s="2">
        <v>3116.25</v>
      </c>
      <c r="J80" s="2">
        <v>1932.08</v>
      </c>
      <c r="K80" s="2">
        <v>0.15</v>
      </c>
      <c r="L80" s="2">
        <v>31785.75</v>
      </c>
    </row>
    <row r="81" spans="1:12" ht="15" customHeight="1" x14ac:dyDescent="0.3">
      <c r="A81" s="2">
        <v>100080</v>
      </c>
      <c r="B81" s="2" t="s">
        <v>286</v>
      </c>
      <c r="C81" s="2" t="s">
        <v>287</v>
      </c>
      <c r="D81" s="2" t="s">
        <v>73</v>
      </c>
      <c r="E81" s="2" t="s">
        <v>148</v>
      </c>
      <c r="F81" s="2" t="s">
        <v>211</v>
      </c>
      <c r="G81" s="2" t="s">
        <v>221</v>
      </c>
      <c r="H81" s="2">
        <v>11</v>
      </c>
      <c r="I81" s="2">
        <v>1783.98</v>
      </c>
      <c r="J81" s="2">
        <v>891.99</v>
      </c>
      <c r="K81" s="2">
        <v>0.1</v>
      </c>
      <c r="L81" s="2">
        <v>17661.37</v>
      </c>
    </row>
    <row r="82" spans="1:12" ht="15" customHeight="1" x14ac:dyDescent="0.3">
      <c r="A82" s="2">
        <v>100081</v>
      </c>
      <c r="B82" s="2" t="s">
        <v>288</v>
      </c>
      <c r="C82" s="2" t="s">
        <v>289</v>
      </c>
      <c r="D82" s="2" t="s">
        <v>32</v>
      </c>
      <c r="E82" s="2" t="s">
        <v>188</v>
      </c>
      <c r="F82" s="2" t="s">
        <v>174</v>
      </c>
      <c r="G82" s="2" t="s">
        <v>206</v>
      </c>
      <c r="H82" s="2">
        <v>10</v>
      </c>
      <c r="I82" s="2">
        <v>287.62</v>
      </c>
      <c r="J82" s="2">
        <v>143.81</v>
      </c>
      <c r="K82" s="2">
        <v>0.1</v>
      </c>
      <c r="L82" s="2">
        <v>2588.62</v>
      </c>
    </row>
    <row r="83" spans="1:12" ht="15" customHeight="1" x14ac:dyDescent="0.3">
      <c r="A83" s="2">
        <v>100082</v>
      </c>
      <c r="B83" s="2" t="s">
        <v>290</v>
      </c>
      <c r="C83" s="2" t="s">
        <v>291</v>
      </c>
      <c r="D83" s="2" t="s">
        <v>108</v>
      </c>
      <c r="E83" s="2" t="s">
        <v>128</v>
      </c>
      <c r="F83" s="2" t="s">
        <v>292</v>
      </c>
      <c r="G83" s="2" t="s">
        <v>76</v>
      </c>
      <c r="H83" s="2">
        <v>4</v>
      </c>
      <c r="I83" s="2">
        <v>2604.98</v>
      </c>
      <c r="J83" s="2">
        <v>1432.74</v>
      </c>
      <c r="K83" s="2">
        <v>0.1</v>
      </c>
      <c r="L83" s="2">
        <v>9377.92</v>
      </c>
    </row>
    <row r="84" spans="1:12" ht="15" customHeight="1" x14ac:dyDescent="0.3">
      <c r="A84" s="2">
        <v>100083</v>
      </c>
      <c r="B84" s="2" t="s">
        <v>293</v>
      </c>
      <c r="C84" s="2" t="s">
        <v>294</v>
      </c>
      <c r="D84" s="2" t="s">
        <v>64</v>
      </c>
      <c r="E84" s="2" t="s">
        <v>33</v>
      </c>
      <c r="F84" s="2" t="s">
        <v>295</v>
      </c>
      <c r="G84" s="2" t="s">
        <v>23</v>
      </c>
      <c r="H84" s="2">
        <v>9</v>
      </c>
      <c r="I84" s="2">
        <v>9862.7999999999993</v>
      </c>
      <c r="J84" s="2">
        <v>6114.94</v>
      </c>
      <c r="K84" s="2">
        <v>0.05</v>
      </c>
      <c r="L84" s="2">
        <v>84326.93</v>
      </c>
    </row>
    <row r="85" spans="1:12" ht="15" customHeight="1" x14ac:dyDescent="0.3">
      <c r="A85" s="2">
        <v>100084</v>
      </c>
      <c r="B85" s="2" t="s">
        <v>296</v>
      </c>
      <c r="C85" s="2" t="s">
        <v>297</v>
      </c>
      <c r="D85" s="2" t="s">
        <v>59</v>
      </c>
      <c r="E85" s="2" t="s">
        <v>181</v>
      </c>
      <c r="F85" s="2" t="s">
        <v>298</v>
      </c>
      <c r="G85" s="2" t="s">
        <v>183</v>
      </c>
      <c r="H85" s="2">
        <v>3</v>
      </c>
      <c r="I85" s="2">
        <v>217.79</v>
      </c>
      <c r="J85" s="2">
        <v>104.54</v>
      </c>
      <c r="K85" s="2">
        <v>0.2</v>
      </c>
      <c r="L85" s="2"/>
    </row>
    <row r="86" spans="1:12" ht="15" customHeight="1" x14ac:dyDescent="0.3">
      <c r="A86" s="2">
        <v>100085</v>
      </c>
      <c r="B86" s="2" t="s">
        <v>299</v>
      </c>
      <c r="C86" s="2" t="s">
        <v>300</v>
      </c>
      <c r="D86" s="2" t="s">
        <v>44</v>
      </c>
      <c r="E86" s="2" t="s">
        <v>93</v>
      </c>
      <c r="F86" s="2" t="s">
        <v>301</v>
      </c>
      <c r="G86" s="2" t="s">
        <v>302</v>
      </c>
      <c r="H86" s="2">
        <v>2</v>
      </c>
      <c r="I86" s="2">
        <v>6128.41</v>
      </c>
      <c r="J86" s="2">
        <v>3677.05</v>
      </c>
      <c r="K86" s="2">
        <v>0.2</v>
      </c>
      <c r="L86" s="2">
        <v>9805.4500000000007</v>
      </c>
    </row>
    <row r="87" spans="1:12" ht="15" customHeight="1" x14ac:dyDescent="0.3">
      <c r="A87" s="2">
        <v>100086</v>
      </c>
      <c r="B87" s="2" t="s">
        <v>303</v>
      </c>
      <c r="C87" s="2" t="s">
        <v>304</v>
      </c>
      <c r="D87" s="2" t="s">
        <v>121</v>
      </c>
      <c r="E87" s="2" t="s">
        <v>54</v>
      </c>
      <c r="F87" s="2" t="s">
        <v>196</v>
      </c>
      <c r="G87" s="2" t="s">
        <v>157</v>
      </c>
      <c r="H87" s="2">
        <v>6</v>
      </c>
      <c r="I87" s="2">
        <v>674.65</v>
      </c>
      <c r="J87" s="2">
        <v>303.58999999999997</v>
      </c>
      <c r="K87" s="2">
        <v>0</v>
      </c>
      <c r="L87" s="2">
        <v>4047.92</v>
      </c>
    </row>
    <row r="88" spans="1:12" ht="15" customHeight="1" x14ac:dyDescent="0.3">
      <c r="A88" s="2">
        <v>100087</v>
      </c>
      <c r="B88" s="2" t="s">
        <v>305</v>
      </c>
      <c r="C88" s="2" t="s">
        <v>306</v>
      </c>
      <c r="D88" s="2" t="s">
        <v>92</v>
      </c>
      <c r="E88" s="2" t="s">
        <v>54</v>
      </c>
      <c r="F88" s="2" t="s">
        <v>235</v>
      </c>
      <c r="G88" s="2" t="s">
        <v>264</v>
      </c>
      <c r="H88" s="2">
        <v>9</v>
      </c>
      <c r="I88" s="2">
        <v>2648.28</v>
      </c>
      <c r="J88" s="2">
        <v>1271.18</v>
      </c>
      <c r="K88" s="2">
        <v>0</v>
      </c>
      <c r="L88" s="2">
        <v>23834.53</v>
      </c>
    </row>
    <row r="89" spans="1:12" ht="15" customHeight="1" x14ac:dyDescent="0.3">
      <c r="A89" s="2">
        <v>100088</v>
      </c>
      <c r="B89" s="2" t="s">
        <v>307</v>
      </c>
      <c r="C89" s="2" t="s">
        <v>308</v>
      </c>
      <c r="D89" s="2" t="s">
        <v>209</v>
      </c>
      <c r="E89" s="2" t="s">
        <v>181</v>
      </c>
      <c r="F89" s="2" t="s">
        <v>309</v>
      </c>
      <c r="G89" s="2" t="s">
        <v>206</v>
      </c>
      <c r="H89" s="2">
        <v>5</v>
      </c>
      <c r="I89" s="2">
        <v>282.36</v>
      </c>
      <c r="J89" s="2">
        <v>141.18</v>
      </c>
      <c r="K89" s="2">
        <v>0.1</v>
      </c>
      <c r="L89" s="2">
        <v>1270.5999999999999</v>
      </c>
    </row>
    <row r="90" spans="1:12" ht="15" customHeight="1" x14ac:dyDescent="0.3">
      <c r="A90" s="2">
        <v>100089</v>
      </c>
      <c r="B90" s="2" t="s">
        <v>310</v>
      </c>
      <c r="C90" s="2" t="s">
        <v>311</v>
      </c>
      <c r="D90" s="2" t="s">
        <v>155</v>
      </c>
      <c r="E90" s="2" t="s">
        <v>128</v>
      </c>
      <c r="F90" s="2" t="s">
        <v>22</v>
      </c>
      <c r="G90" s="2" t="s">
        <v>23</v>
      </c>
      <c r="H90" s="2">
        <v>1</v>
      </c>
      <c r="I90" s="2">
        <v>9418.58</v>
      </c>
      <c r="J90" s="2">
        <v>5839.52</v>
      </c>
      <c r="K90" s="2">
        <v>0</v>
      </c>
      <c r="L90" s="2">
        <v>9418.58</v>
      </c>
    </row>
    <row r="91" spans="1:12" ht="15" customHeight="1" x14ac:dyDescent="0.3">
      <c r="A91" s="2">
        <v>100090</v>
      </c>
      <c r="B91" s="2" t="s">
        <v>312</v>
      </c>
      <c r="C91" s="2" t="s">
        <v>313</v>
      </c>
      <c r="D91" s="2" t="s">
        <v>155</v>
      </c>
      <c r="E91" s="2" t="s">
        <v>33</v>
      </c>
      <c r="F91" s="2" t="s">
        <v>226</v>
      </c>
      <c r="G91" s="2" t="s">
        <v>90</v>
      </c>
      <c r="H91" s="2">
        <v>5</v>
      </c>
      <c r="I91" s="2">
        <v>44011.58</v>
      </c>
      <c r="J91" s="2">
        <v>28607.53</v>
      </c>
      <c r="K91" s="2">
        <v>0</v>
      </c>
      <c r="L91" s="2">
        <v>220057.9</v>
      </c>
    </row>
    <row r="92" spans="1:12" ht="15" customHeight="1" x14ac:dyDescent="0.3">
      <c r="A92" s="2">
        <v>100091</v>
      </c>
      <c r="B92" s="2" t="s">
        <v>314</v>
      </c>
      <c r="C92" s="2" t="s">
        <v>315</v>
      </c>
      <c r="D92" s="2" t="s">
        <v>26</v>
      </c>
      <c r="E92" s="2" t="s">
        <v>85</v>
      </c>
      <c r="F92" s="2" t="s">
        <v>75</v>
      </c>
      <c r="G92" s="2" t="s">
        <v>193</v>
      </c>
      <c r="H92" s="2">
        <v>3</v>
      </c>
      <c r="I92" s="2">
        <v>3161.17</v>
      </c>
      <c r="J92" s="2">
        <v>1580.58</v>
      </c>
      <c r="K92" s="2">
        <v>0</v>
      </c>
      <c r="L92" s="2">
        <v>9483.51</v>
      </c>
    </row>
    <row r="93" spans="1:12" ht="15" customHeight="1" x14ac:dyDescent="0.3">
      <c r="A93" s="2">
        <v>100092</v>
      </c>
      <c r="B93" s="2" t="s">
        <v>293</v>
      </c>
      <c r="C93" s="2" t="s">
        <v>316</v>
      </c>
      <c r="D93" s="2" t="s">
        <v>59</v>
      </c>
      <c r="E93" s="2" t="s">
        <v>54</v>
      </c>
      <c r="F93" s="2" t="s">
        <v>317</v>
      </c>
      <c r="G93" s="2" t="s">
        <v>142</v>
      </c>
      <c r="H93" s="2">
        <v>11</v>
      </c>
      <c r="I93" s="2">
        <v>1500.44</v>
      </c>
      <c r="J93" s="2">
        <v>750.22</v>
      </c>
      <c r="K93" s="2">
        <v>0.05</v>
      </c>
      <c r="L93" s="2">
        <v>15679.62</v>
      </c>
    </row>
    <row r="94" spans="1:12" ht="15" customHeight="1" x14ac:dyDescent="0.3">
      <c r="A94" s="2">
        <v>100093</v>
      </c>
      <c r="B94" s="2" t="s">
        <v>318</v>
      </c>
      <c r="C94" s="2" t="s">
        <v>319</v>
      </c>
      <c r="D94" s="2" t="s">
        <v>209</v>
      </c>
      <c r="E94" s="2" t="s">
        <v>188</v>
      </c>
      <c r="F94" s="2" t="s">
        <v>60</v>
      </c>
      <c r="G94" s="2" t="s">
        <v>61</v>
      </c>
      <c r="H94" s="2">
        <v>11</v>
      </c>
      <c r="I94" s="2">
        <v>222.29</v>
      </c>
      <c r="J94" s="2">
        <v>111.14</v>
      </c>
      <c r="K94" s="2">
        <v>0.15</v>
      </c>
      <c r="L94" s="2">
        <v>2078.39</v>
      </c>
    </row>
    <row r="95" spans="1:12" ht="15" customHeight="1" x14ac:dyDescent="0.3">
      <c r="A95" s="2">
        <v>100094</v>
      </c>
      <c r="B95" s="2" t="s">
        <v>236</v>
      </c>
      <c r="C95" s="2" t="s">
        <v>320</v>
      </c>
      <c r="D95" s="2" t="s">
        <v>209</v>
      </c>
      <c r="E95" s="2" t="s">
        <v>124</v>
      </c>
      <c r="F95" s="2" t="s">
        <v>321</v>
      </c>
      <c r="G95" s="2" t="s">
        <v>322</v>
      </c>
      <c r="H95" s="2">
        <v>9</v>
      </c>
      <c r="I95" s="2">
        <v>485.54</v>
      </c>
      <c r="J95" s="2">
        <v>242.77</v>
      </c>
      <c r="K95" s="2">
        <v>0</v>
      </c>
      <c r="L95" s="2">
        <v>4369.8599999999997</v>
      </c>
    </row>
    <row r="96" spans="1:12" ht="15" customHeight="1" x14ac:dyDescent="0.3">
      <c r="A96" s="2">
        <v>100095</v>
      </c>
      <c r="B96" s="2" t="s">
        <v>323</v>
      </c>
      <c r="C96" s="2" t="s">
        <v>324</v>
      </c>
      <c r="D96" s="2" t="s">
        <v>160</v>
      </c>
      <c r="E96" s="2" t="s">
        <v>181</v>
      </c>
      <c r="F96" s="2" t="s">
        <v>325</v>
      </c>
      <c r="G96" s="2" t="s">
        <v>50</v>
      </c>
      <c r="H96" s="2">
        <v>12</v>
      </c>
      <c r="I96" s="2">
        <v>121.76</v>
      </c>
      <c r="J96" s="2">
        <v>54.79</v>
      </c>
      <c r="K96" s="2">
        <v>0.2</v>
      </c>
      <c r="L96" s="2">
        <v>1168.9100000000001</v>
      </c>
    </row>
    <row r="97" spans="1:12" ht="15" customHeight="1" x14ac:dyDescent="0.3">
      <c r="A97" s="2">
        <v>100096</v>
      </c>
      <c r="B97" s="2" t="s">
        <v>326</v>
      </c>
      <c r="C97" s="2" t="s">
        <v>327</v>
      </c>
      <c r="D97" s="2" t="s">
        <v>32</v>
      </c>
      <c r="E97" s="2" t="s">
        <v>232</v>
      </c>
      <c r="F97" s="2" t="s">
        <v>199</v>
      </c>
      <c r="G97" s="2" t="s">
        <v>183</v>
      </c>
      <c r="H97" s="2">
        <v>3</v>
      </c>
      <c r="I97" s="2">
        <v>218.33</v>
      </c>
      <c r="J97" s="2">
        <v>104.8</v>
      </c>
      <c r="K97" s="2">
        <v>0.05</v>
      </c>
      <c r="L97" s="2">
        <v>622.24</v>
      </c>
    </row>
    <row r="98" spans="1:12" ht="15" customHeight="1" x14ac:dyDescent="0.3">
      <c r="A98" s="2">
        <v>100097</v>
      </c>
      <c r="B98" s="2" t="s">
        <v>328</v>
      </c>
      <c r="C98" s="2" t="s">
        <v>329</v>
      </c>
      <c r="D98" s="2" t="s">
        <v>44</v>
      </c>
      <c r="E98" s="2" t="s">
        <v>74</v>
      </c>
      <c r="F98" s="2" t="s">
        <v>132</v>
      </c>
      <c r="G98" s="2" t="s">
        <v>193</v>
      </c>
      <c r="H98" s="2">
        <v>11</v>
      </c>
      <c r="I98" s="2">
        <v>3365.03</v>
      </c>
      <c r="J98" s="2">
        <v>1682.51</v>
      </c>
      <c r="K98" s="2">
        <v>0</v>
      </c>
      <c r="L98" s="2">
        <v>37015.279999999999</v>
      </c>
    </row>
    <row r="99" spans="1:12" ht="15" customHeight="1" x14ac:dyDescent="0.3">
      <c r="A99" s="2">
        <v>100098</v>
      </c>
      <c r="B99" s="2" t="s">
        <v>330</v>
      </c>
      <c r="C99" s="2" t="s">
        <v>331</v>
      </c>
      <c r="D99" s="2" t="s">
        <v>26</v>
      </c>
      <c r="E99" s="2" t="s">
        <v>74</v>
      </c>
      <c r="F99" s="2" t="s">
        <v>132</v>
      </c>
      <c r="G99" s="2" t="s">
        <v>193</v>
      </c>
      <c r="H99" s="2">
        <v>6</v>
      </c>
      <c r="I99" s="2">
        <v>3205.58</v>
      </c>
      <c r="J99" s="2">
        <v>1602.79</v>
      </c>
      <c r="K99" s="2">
        <v>0.15</v>
      </c>
      <c r="L99" s="2">
        <v>16348.47</v>
      </c>
    </row>
    <row r="100" spans="1:12" ht="15" customHeight="1" x14ac:dyDescent="0.3">
      <c r="A100" s="2">
        <v>100099</v>
      </c>
      <c r="B100" s="2" t="s">
        <v>332</v>
      </c>
      <c r="C100" s="2" t="s">
        <v>333</v>
      </c>
      <c r="D100" s="2" t="s">
        <v>79</v>
      </c>
      <c r="E100" s="2" t="s">
        <v>80</v>
      </c>
      <c r="F100" s="2" t="s">
        <v>334</v>
      </c>
      <c r="G100" s="2" t="s">
        <v>82</v>
      </c>
      <c r="H100" s="2">
        <v>3</v>
      </c>
      <c r="I100" s="2">
        <v>2970.43</v>
      </c>
      <c r="J100" s="2">
        <v>1485.21</v>
      </c>
      <c r="K100" s="2">
        <v>0.1</v>
      </c>
      <c r="L100" s="2">
        <v>8020.16</v>
      </c>
    </row>
    <row r="101" spans="1:12" ht="15" customHeight="1" x14ac:dyDescent="0.3">
      <c r="A101" s="2">
        <v>100100</v>
      </c>
      <c r="B101" s="2" t="s">
        <v>335</v>
      </c>
      <c r="C101" s="2" t="s">
        <v>336</v>
      </c>
      <c r="D101" s="2" t="s">
        <v>337</v>
      </c>
      <c r="E101" s="2" t="s">
        <v>188</v>
      </c>
      <c r="F101" s="2" t="s">
        <v>49</v>
      </c>
      <c r="G101" s="2" t="s">
        <v>338</v>
      </c>
      <c r="H101" s="2">
        <v>4</v>
      </c>
      <c r="I101" s="2">
        <v>157.94999999999999</v>
      </c>
      <c r="J101" s="2">
        <v>71.08</v>
      </c>
      <c r="K101" s="2">
        <v>0</v>
      </c>
      <c r="L101" s="2">
        <v>631.78</v>
      </c>
    </row>
    <row r="102" spans="1:12" ht="15" customHeight="1" x14ac:dyDescent="0.3">
      <c r="A102" s="2">
        <v>100101</v>
      </c>
      <c r="B102" s="2" t="s">
        <v>339</v>
      </c>
      <c r="C102" s="2" t="s">
        <v>340</v>
      </c>
      <c r="D102" s="2" t="s">
        <v>155</v>
      </c>
      <c r="E102" s="2" t="s">
        <v>137</v>
      </c>
      <c r="F102" s="2" t="s">
        <v>141</v>
      </c>
      <c r="G102" s="2" t="s">
        <v>142</v>
      </c>
      <c r="H102" s="2">
        <v>3</v>
      </c>
      <c r="I102" s="2">
        <v>1614.61</v>
      </c>
      <c r="J102" s="2">
        <v>807.31</v>
      </c>
      <c r="K102" s="2">
        <v>0.15</v>
      </c>
      <c r="L102" s="2">
        <v>4117.2700000000004</v>
      </c>
    </row>
    <row r="103" spans="1:12" ht="15" customHeight="1" x14ac:dyDescent="0.3">
      <c r="A103" s="2">
        <v>100102</v>
      </c>
      <c r="B103" s="2" t="s">
        <v>341</v>
      </c>
      <c r="C103" s="2" t="s">
        <v>342</v>
      </c>
      <c r="D103" s="2" t="s">
        <v>155</v>
      </c>
      <c r="E103" s="2" t="s">
        <v>21</v>
      </c>
      <c r="F103" s="2" t="s">
        <v>226</v>
      </c>
      <c r="G103" s="2" t="s">
        <v>343</v>
      </c>
      <c r="H103" s="2">
        <v>3</v>
      </c>
      <c r="I103" s="2">
        <v>37602.379999999997</v>
      </c>
      <c r="J103" s="2">
        <v>25569.62</v>
      </c>
      <c r="K103" s="2">
        <v>0</v>
      </c>
      <c r="L103" s="2">
        <v>112807.13</v>
      </c>
    </row>
    <row r="104" spans="1:12" ht="15" customHeight="1" x14ac:dyDescent="0.3">
      <c r="A104" s="2">
        <v>100103</v>
      </c>
      <c r="B104" s="2" t="s">
        <v>344</v>
      </c>
      <c r="C104" s="2" t="s">
        <v>345</v>
      </c>
      <c r="D104" s="2" t="s">
        <v>64</v>
      </c>
      <c r="E104" s="2" t="s">
        <v>85</v>
      </c>
      <c r="F104" s="2" t="s">
        <v>132</v>
      </c>
      <c r="G104" s="2" t="s">
        <v>193</v>
      </c>
      <c r="H104" s="2">
        <v>10</v>
      </c>
      <c r="I104" s="2">
        <v>3104.14</v>
      </c>
      <c r="J104" s="2">
        <v>1552.07</v>
      </c>
      <c r="K104" s="2"/>
      <c r="L104" s="2">
        <v>26385.23</v>
      </c>
    </row>
    <row r="105" spans="1:12" ht="15" customHeight="1" x14ac:dyDescent="0.3">
      <c r="A105" s="2">
        <v>100104</v>
      </c>
      <c r="B105" s="2" t="s">
        <v>346</v>
      </c>
      <c r="C105" s="2" t="s">
        <v>347</v>
      </c>
      <c r="D105" s="2" t="s">
        <v>47</v>
      </c>
      <c r="E105" s="2" t="s">
        <v>148</v>
      </c>
      <c r="F105" s="2" t="s">
        <v>196</v>
      </c>
      <c r="G105" s="2" t="s">
        <v>157</v>
      </c>
      <c r="H105" s="2">
        <v>11</v>
      </c>
      <c r="I105" s="2">
        <v>663.6</v>
      </c>
      <c r="J105" s="2">
        <v>298.62</v>
      </c>
      <c r="K105" s="2">
        <v>0.15</v>
      </c>
      <c r="L105" s="2">
        <v>6204.67</v>
      </c>
    </row>
    <row r="106" spans="1:12" ht="15" customHeight="1" x14ac:dyDescent="0.3">
      <c r="A106" s="2">
        <v>100105</v>
      </c>
      <c r="B106" s="2" t="s">
        <v>348</v>
      </c>
      <c r="C106" s="2" t="s">
        <v>349</v>
      </c>
      <c r="D106" s="2" t="s">
        <v>44</v>
      </c>
      <c r="E106" s="2" t="s">
        <v>181</v>
      </c>
      <c r="F106" s="2" t="s">
        <v>350</v>
      </c>
      <c r="G106" s="2" t="s">
        <v>322</v>
      </c>
      <c r="H106" s="2">
        <v>7</v>
      </c>
      <c r="I106" s="2">
        <v>464.16</v>
      </c>
      <c r="J106" s="2">
        <v>232.08</v>
      </c>
      <c r="K106" s="2">
        <v>0.05</v>
      </c>
      <c r="L106" s="2">
        <v>3086.66</v>
      </c>
    </row>
    <row r="107" spans="1:12" ht="15" customHeight="1" x14ac:dyDescent="0.3">
      <c r="A107" s="2">
        <v>100106</v>
      </c>
      <c r="B107" s="2" t="s">
        <v>201</v>
      </c>
      <c r="C107" s="2" t="s">
        <v>351</v>
      </c>
      <c r="D107" s="2" t="s">
        <v>160</v>
      </c>
      <c r="E107" s="2" t="s">
        <v>93</v>
      </c>
      <c r="F107" s="2" t="s">
        <v>352</v>
      </c>
      <c r="G107" s="2" t="s">
        <v>95</v>
      </c>
      <c r="H107" s="2">
        <v>10</v>
      </c>
      <c r="I107" s="2">
        <v>10228.719999999999</v>
      </c>
      <c r="J107" s="2">
        <v>5932.66</v>
      </c>
      <c r="K107" s="2">
        <v>0</v>
      </c>
      <c r="L107" s="2">
        <v>102287.18</v>
      </c>
    </row>
    <row r="108" spans="1:12" ht="15" customHeight="1" x14ac:dyDescent="0.3">
      <c r="A108" s="2">
        <v>100107</v>
      </c>
      <c r="B108" s="2" t="s">
        <v>353</v>
      </c>
      <c r="C108" s="2" t="s">
        <v>354</v>
      </c>
      <c r="D108" s="2" t="s">
        <v>59</v>
      </c>
      <c r="E108" s="2" t="s">
        <v>85</v>
      </c>
      <c r="F108" s="2" t="s">
        <v>295</v>
      </c>
      <c r="G108" s="2" t="s">
        <v>229</v>
      </c>
      <c r="H108" s="2">
        <v>10</v>
      </c>
      <c r="I108" s="2">
        <v>14905.86</v>
      </c>
      <c r="J108" s="2">
        <v>8943.51</v>
      </c>
      <c r="K108" s="2">
        <v>0.15</v>
      </c>
      <c r="L108" s="2">
        <v>126699.79</v>
      </c>
    </row>
    <row r="109" spans="1:12" ht="15" customHeight="1" x14ac:dyDescent="0.3">
      <c r="A109" s="2">
        <v>100108</v>
      </c>
      <c r="B109" s="2" t="s">
        <v>151</v>
      </c>
      <c r="C109" s="2" t="s">
        <v>355</v>
      </c>
      <c r="D109" s="2" t="s">
        <v>26</v>
      </c>
      <c r="E109" s="2" t="s">
        <v>85</v>
      </c>
      <c r="F109" s="2" t="s">
        <v>132</v>
      </c>
      <c r="G109" s="2" t="s">
        <v>110</v>
      </c>
      <c r="H109" s="2">
        <v>9</v>
      </c>
      <c r="I109" s="2">
        <v>1185.02</v>
      </c>
      <c r="J109" s="2">
        <v>711.01</v>
      </c>
      <c r="K109" s="2">
        <v>0.1</v>
      </c>
      <c r="L109" s="2">
        <v>9598.68</v>
      </c>
    </row>
    <row r="110" spans="1:12" ht="15" customHeight="1" x14ac:dyDescent="0.3">
      <c r="A110" s="2">
        <v>100109</v>
      </c>
      <c r="B110" s="2" t="s">
        <v>356</v>
      </c>
      <c r="C110" s="2" t="s">
        <v>357</v>
      </c>
      <c r="D110" s="2" t="s">
        <v>64</v>
      </c>
      <c r="E110" s="2" t="s">
        <v>93</v>
      </c>
      <c r="F110" s="2" t="s">
        <v>94</v>
      </c>
      <c r="G110" s="2" t="s">
        <v>277</v>
      </c>
      <c r="H110" s="2">
        <v>9</v>
      </c>
      <c r="I110" s="2">
        <v>4108.9399999999996</v>
      </c>
      <c r="J110" s="2">
        <v>2670.81</v>
      </c>
      <c r="K110" s="2">
        <v>0</v>
      </c>
      <c r="L110" s="2">
        <v>36980.449999999997</v>
      </c>
    </row>
    <row r="111" spans="1:12" ht="15" customHeight="1" x14ac:dyDescent="0.3">
      <c r="A111" s="2">
        <v>100110</v>
      </c>
      <c r="B111" s="2" t="s">
        <v>358</v>
      </c>
      <c r="C111" s="2" t="s">
        <v>359</v>
      </c>
      <c r="D111" s="2" t="s">
        <v>108</v>
      </c>
      <c r="E111" s="2" t="s">
        <v>65</v>
      </c>
      <c r="F111" s="2" t="s">
        <v>284</v>
      </c>
      <c r="G111" s="2" t="s">
        <v>29</v>
      </c>
      <c r="H111" s="2">
        <v>10</v>
      </c>
      <c r="I111" s="2">
        <v>4670.5200000000004</v>
      </c>
      <c r="J111" s="2">
        <v>2942.43</v>
      </c>
      <c r="K111" s="2">
        <v>0.2</v>
      </c>
      <c r="L111" s="2">
        <v>37364.19</v>
      </c>
    </row>
    <row r="112" spans="1:12" ht="15" customHeight="1" x14ac:dyDescent="0.3">
      <c r="A112" s="2">
        <v>100111</v>
      </c>
      <c r="B112" s="2" t="s">
        <v>360</v>
      </c>
      <c r="C112" s="2" t="s">
        <v>361</v>
      </c>
      <c r="D112" s="2" t="s">
        <v>38</v>
      </c>
      <c r="E112" s="2" t="s">
        <v>80</v>
      </c>
      <c r="F112" s="2" t="s">
        <v>149</v>
      </c>
      <c r="G112" s="2" t="s">
        <v>150</v>
      </c>
      <c r="H112" s="2">
        <v>12</v>
      </c>
      <c r="I112" s="2">
        <v>1817.68</v>
      </c>
      <c r="J112" s="2">
        <v>908.84</v>
      </c>
      <c r="K112" s="2"/>
      <c r="L112" s="2">
        <v>19631</v>
      </c>
    </row>
    <row r="113" spans="1:12" ht="15" customHeight="1" x14ac:dyDescent="0.3">
      <c r="A113" s="2">
        <v>100112</v>
      </c>
      <c r="B113" s="2" t="s">
        <v>362</v>
      </c>
      <c r="C113" s="2" t="s">
        <v>363</v>
      </c>
      <c r="D113" s="2" t="s">
        <v>47</v>
      </c>
      <c r="E113" s="2" t="s">
        <v>80</v>
      </c>
      <c r="F113" s="2" t="s">
        <v>141</v>
      </c>
      <c r="G113" s="2" t="s">
        <v>142</v>
      </c>
      <c r="H113" s="2">
        <v>12</v>
      </c>
      <c r="I113" s="2">
        <v>1451.93</v>
      </c>
      <c r="J113" s="2">
        <v>725.96</v>
      </c>
      <c r="K113" s="2">
        <v>0</v>
      </c>
      <c r="L113" s="2">
        <v>17423.11</v>
      </c>
    </row>
    <row r="114" spans="1:12" ht="15" customHeight="1" x14ac:dyDescent="0.3">
      <c r="A114" s="2">
        <v>100113</v>
      </c>
      <c r="B114" s="2" t="s">
        <v>364</v>
      </c>
      <c r="C114" s="2" t="s">
        <v>365</v>
      </c>
      <c r="D114" s="2" t="s">
        <v>102</v>
      </c>
      <c r="E114" s="2" t="s">
        <v>54</v>
      </c>
      <c r="F114" s="2" t="s">
        <v>153</v>
      </c>
      <c r="G114" s="2" t="s">
        <v>82</v>
      </c>
      <c r="H114" s="2">
        <v>5</v>
      </c>
      <c r="I114" s="2">
        <v>2863.14</v>
      </c>
      <c r="J114" s="2">
        <v>1431.57</v>
      </c>
      <c r="K114" s="2">
        <v>0</v>
      </c>
      <c r="L114" s="2">
        <v>14315.72</v>
      </c>
    </row>
    <row r="115" spans="1:12" ht="15" customHeight="1" x14ac:dyDescent="0.3">
      <c r="A115" s="2">
        <v>100114</v>
      </c>
      <c r="B115" s="2" t="s">
        <v>366</v>
      </c>
      <c r="C115" s="2" t="s">
        <v>367</v>
      </c>
      <c r="D115" s="2" t="s">
        <v>102</v>
      </c>
      <c r="E115" s="2" t="s">
        <v>128</v>
      </c>
      <c r="F115" s="2" t="s">
        <v>368</v>
      </c>
      <c r="G115" s="2" t="s">
        <v>254</v>
      </c>
      <c r="H115" s="2">
        <v>6</v>
      </c>
      <c r="I115" s="2">
        <v>1020.39</v>
      </c>
      <c r="J115" s="2">
        <v>612.24</v>
      </c>
      <c r="K115" s="2">
        <v>0.2</v>
      </c>
      <c r="L115" s="2">
        <v>4897.8900000000003</v>
      </c>
    </row>
    <row r="116" spans="1:12" ht="15" customHeight="1" x14ac:dyDescent="0.3">
      <c r="A116" s="2">
        <v>100115</v>
      </c>
      <c r="B116" s="2" t="s">
        <v>369</v>
      </c>
      <c r="C116" s="2" t="s">
        <v>370</v>
      </c>
      <c r="D116" s="2" t="s">
        <v>32</v>
      </c>
      <c r="E116" s="2" t="s">
        <v>65</v>
      </c>
      <c r="F116" s="2" t="s">
        <v>371</v>
      </c>
      <c r="G116" s="2" t="s">
        <v>67</v>
      </c>
      <c r="H116" s="2">
        <v>12</v>
      </c>
      <c r="I116" s="2">
        <v>7286.64</v>
      </c>
      <c r="J116" s="2">
        <v>4517.72</v>
      </c>
      <c r="K116" s="2">
        <v>0</v>
      </c>
      <c r="L116" s="2">
        <v>87439.73</v>
      </c>
    </row>
    <row r="117" spans="1:12" ht="15" customHeight="1" x14ac:dyDescent="0.3">
      <c r="A117" s="2">
        <v>100116</v>
      </c>
      <c r="B117" s="2" t="s">
        <v>372</v>
      </c>
      <c r="C117" s="2" t="s">
        <v>373</v>
      </c>
      <c r="D117" s="2" t="s">
        <v>121</v>
      </c>
      <c r="E117" s="2" t="s">
        <v>137</v>
      </c>
      <c r="F117" s="2" t="s">
        <v>141</v>
      </c>
      <c r="G117" s="2" t="s">
        <v>221</v>
      </c>
      <c r="H117" s="2">
        <v>11</v>
      </c>
      <c r="I117" s="2">
        <v>1756.67</v>
      </c>
      <c r="J117" s="2">
        <v>878.34</v>
      </c>
      <c r="K117" s="2">
        <v>0.05</v>
      </c>
      <c r="L117" s="2">
        <v>18357.23</v>
      </c>
    </row>
    <row r="118" spans="1:12" ht="15" customHeight="1" x14ac:dyDescent="0.3">
      <c r="A118" s="2">
        <v>100117</v>
      </c>
      <c r="B118" s="2" t="s">
        <v>374</v>
      </c>
      <c r="C118" s="2" t="s">
        <v>375</v>
      </c>
      <c r="D118" s="2" t="s">
        <v>26</v>
      </c>
      <c r="E118" s="2" t="s">
        <v>65</v>
      </c>
      <c r="F118" s="2" t="s">
        <v>40</v>
      </c>
      <c r="G118" s="2" t="s">
        <v>41</v>
      </c>
      <c r="H118" s="2">
        <v>8</v>
      </c>
      <c r="I118" s="2">
        <v>5065.95</v>
      </c>
      <c r="J118" s="2">
        <v>3292.87</v>
      </c>
      <c r="K118" s="2">
        <v>0.15</v>
      </c>
      <c r="L118" s="2">
        <v>34448.44</v>
      </c>
    </row>
    <row r="119" spans="1:12" ht="15" customHeight="1" x14ac:dyDescent="0.3">
      <c r="A119" s="2">
        <v>100118</v>
      </c>
      <c r="B119" s="2" t="s">
        <v>376</v>
      </c>
      <c r="C119" s="2" t="s">
        <v>377</v>
      </c>
      <c r="D119" s="2" t="s">
        <v>26</v>
      </c>
      <c r="E119" s="2" t="s">
        <v>39</v>
      </c>
      <c r="F119" s="2" t="s">
        <v>378</v>
      </c>
      <c r="G119" s="2" t="s">
        <v>29</v>
      </c>
      <c r="H119" s="2">
        <v>4</v>
      </c>
      <c r="I119" s="2">
        <v>4959.1899999999996</v>
      </c>
      <c r="J119" s="2">
        <v>3124.29</v>
      </c>
      <c r="K119" s="2">
        <v>0.05</v>
      </c>
      <c r="L119" s="2"/>
    </row>
    <row r="120" spans="1:12" ht="15" customHeight="1" x14ac:dyDescent="0.3">
      <c r="A120" s="2">
        <v>100119</v>
      </c>
      <c r="B120" s="2" t="s">
        <v>201</v>
      </c>
      <c r="C120" s="2" t="s">
        <v>379</v>
      </c>
      <c r="D120" s="2" t="s">
        <v>26</v>
      </c>
      <c r="E120" s="2" t="s">
        <v>80</v>
      </c>
      <c r="F120" s="2" t="s">
        <v>235</v>
      </c>
      <c r="G120" s="2" t="s">
        <v>150</v>
      </c>
      <c r="H120" s="2">
        <v>7</v>
      </c>
      <c r="I120" s="2">
        <v>1970.31</v>
      </c>
      <c r="J120" s="2">
        <v>985.15</v>
      </c>
      <c r="K120" s="2"/>
      <c r="L120" s="2">
        <v>13792.14</v>
      </c>
    </row>
    <row r="121" spans="1:12" ht="15" customHeight="1" x14ac:dyDescent="0.3">
      <c r="A121" s="2">
        <v>100120</v>
      </c>
      <c r="B121" s="2" t="s">
        <v>380</v>
      </c>
      <c r="C121" s="2" t="s">
        <v>340</v>
      </c>
      <c r="D121" s="2" t="s">
        <v>20</v>
      </c>
      <c r="E121" s="2" t="s">
        <v>232</v>
      </c>
      <c r="F121" s="2" t="s">
        <v>321</v>
      </c>
      <c r="G121" s="2" t="s">
        <v>61</v>
      </c>
      <c r="H121" s="2">
        <v>1</v>
      </c>
      <c r="I121" s="2">
        <v>228.1</v>
      </c>
      <c r="J121" s="2">
        <v>114.05</v>
      </c>
      <c r="K121" s="2">
        <v>0.1</v>
      </c>
      <c r="L121" s="2">
        <v>205.29</v>
      </c>
    </row>
    <row r="122" spans="1:12" ht="15" customHeight="1" x14ac:dyDescent="0.3">
      <c r="A122" s="2">
        <v>100121</v>
      </c>
      <c r="B122" s="2" t="s">
        <v>381</v>
      </c>
      <c r="C122" s="2" t="s">
        <v>382</v>
      </c>
      <c r="D122" s="2" t="s">
        <v>64</v>
      </c>
      <c r="E122" s="2" t="s">
        <v>65</v>
      </c>
      <c r="F122" s="2" t="s">
        <v>301</v>
      </c>
      <c r="G122" s="2" t="s">
        <v>302</v>
      </c>
      <c r="H122" s="2">
        <v>8</v>
      </c>
      <c r="I122" s="2">
        <v>6013.47</v>
      </c>
      <c r="J122" s="2">
        <v>3608.08</v>
      </c>
      <c r="K122" s="2">
        <v>0.15</v>
      </c>
      <c r="L122" s="2">
        <v>40891.58</v>
      </c>
    </row>
    <row r="123" spans="1:12" ht="15" customHeight="1" x14ac:dyDescent="0.3">
      <c r="A123" s="2">
        <v>100122</v>
      </c>
      <c r="B123" s="2" t="s">
        <v>383</v>
      </c>
      <c r="C123" s="2" t="s">
        <v>384</v>
      </c>
      <c r="D123" s="2" t="s">
        <v>38</v>
      </c>
      <c r="E123" s="2" t="s">
        <v>137</v>
      </c>
      <c r="F123" s="2" t="s">
        <v>235</v>
      </c>
      <c r="G123" s="2" t="s">
        <v>150</v>
      </c>
      <c r="H123" s="2">
        <v>10</v>
      </c>
      <c r="I123" s="2">
        <v>1832.72</v>
      </c>
      <c r="J123" s="2">
        <v>916.36</v>
      </c>
      <c r="K123" s="2">
        <v>0.2</v>
      </c>
      <c r="L123" s="2">
        <v>14661.72</v>
      </c>
    </row>
    <row r="124" spans="1:12" ht="15" customHeight="1" x14ac:dyDescent="0.3">
      <c r="A124" s="2">
        <v>100123</v>
      </c>
      <c r="B124" s="2" t="s">
        <v>385</v>
      </c>
      <c r="C124" s="2" t="s">
        <v>386</v>
      </c>
      <c r="D124" s="2" t="s">
        <v>59</v>
      </c>
      <c r="E124" s="2" t="s">
        <v>148</v>
      </c>
      <c r="F124" s="2" t="s">
        <v>196</v>
      </c>
      <c r="G124" s="2" t="s">
        <v>157</v>
      </c>
      <c r="H124" s="2">
        <v>3</v>
      </c>
      <c r="I124" s="2">
        <v>660.87</v>
      </c>
      <c r="J124" s="2">
        <v>297.39</v>
      </c>
      <c r="K124" s="2">
        <v>0.1</v>
      </c>
      <c r="L124" s="2">
        <v>1784.35</v>
      </c>
    </row>
    <row r="125" spans="1:12" ht="15" customHeight="1" x14ac:dyDescent="0.3">
      <c r="A125" s="2">
        <v>100124</v>
      </c>
      <c r="B125" s="2" t="s">
        <v>387</v>
      </c>
      <c r="C125" s="2" t="s">
        <v>388</v>
      </c>
      <c r="D125" s="2" t="s">
        <v>64</v>
      </c>
      <c r="E125" s="2" t="s">
        <v>74</v>
      </c>
      <c r="F125" s="2" t="s">
        <v>226</v>
      </c>
      <c r="G125" s="2" t="s">
        <v>90</v>
      </c>
      <c r="H125" s="2">
        <v>8</v>
      </c>
      <c r="I125" s="2">
        <v>42935.65</v>
      </c>
      <c r="J125" s="2">
        <v>27908.17</v>
      </c>
      <c r="K125" s="2">
        <v>0.1</v>
      </c>
      <c r="L125" s="2">
        <v>309136.67</v>
      </c>
    </row>
    <row r="126" spans="1:12" ht="15" customHeight="1" x14ac:dyDescent="0.3">
      <c r="A126" s="2">
        <v>100125</v>
      </c>
      <c r="B126" s="2" t="s">
        <v>389</v>
      </c>
      <c r="C126" s="2" t="s">
        <v>390</v>
      </c>
      <c r="D126" s="2" t="s">
        <v>47</v>
      </c>
      <c r="E126" s="2" t="s">
        <v>181</v>
      </c>
      <c r="F126" s="2" t="s">
        <v>174</v>
      </c>
      <c r="G126" s="2" t="s">
        <v>206</v>
      </c>
      <c r="H126" s="2">
        <v>9</v>
      </c>
      <c r="I126" s="2">
        <v>280.31</v>
      </c>
      <c r="J126" s="2">
        <v>140.15</v>
      </c>
      <c r="K126" s="2">
        <v>0</v>
      </c>
      <c r="L126" s="2">
        <v>2522.77</v>
      </c>
    </row>
    <row r="127" spans="1:12" ht="15" customHeight="1" x14ac:dyDescent="0.3">
      <c r="A127" s="2">
        <v>100126</v>
      </c>
      <c r="B127" s="2" t="s">
        <v>391</v>
      </c>
      <c r="C127" s="2" t="s">
        <v>392</v>
      </c>
      <c r="D127" s="2" t="s">
        <v>26</v>
      </c>
      <c r="E127" s="2" t="s">
        <v>232</v>
      </c>
      <c r="F127" s="2" t="s">
        <v>393</v>
      </c>
      <c r="G127" s="2" t="s">
        <v>50</v>
      </c>
      <c r="H127" s="2">
        <v>4</v>
      </c>
      <c r="I127" s="2">
        <v>128.62</v>
      </c>
      <c r="J127" s="2">
        <v>57.88</v>
      </c>
      <c r="K127" s="2">
        <v>0.15</v>
      </c>
      <c r="L127" s="2">
        <v>437.32</v>
      </c>
    </row>
    <row r="128" spans="1:12" ht="15" customHeight="1" x14ac:dyDescent="0.3">
      <c r="A128" s="2">
        <v>100127</v>
      </c>
      <c r="B128" s="2" t="s">
        <v>394</v>
      </c>
      <c r="C128" s="2" t="s">
        <v>395</v>
      </c>
      <c r="D128" s="2" t="s">
        <v>47</v>
      </c>
      <c r="E128" s="2" t="s">
        <v>74</v>
      </c>
      <c r="F128" s="2" t="s">
        <v>253</v>
      </c>
      <c r="G128" s="2" t="s">
        <v>254</v>
      </c>
      <c r="H128" s="2">
        <v>4</v>
      </c>
      <c r="I128" s="2">
        <v>969.16</v>
      </c>
      <c r="J128" s="2">
        <v>581.5</v>
      </c>
      <c r="K128" s="2">
        <v>0.2</v>
      </c>
      <c r="L128" s="2">
        <v>3101.31</v>
      </c>
    </row>
    <row r="129" spans="1:12" ht="15" customHeight="1" x14ac:dyDescent="0.3">
      <c r="A129" s="2">
        <v>100128</v>
      </c>
      <c r="B129" s="2" t="s">
        <v>396</v>
      </c>
      <c r="C129" s="2" t="s">
        <v>297</v>
      </c>
      <c r="D129" s="2" t="s">
        <v>337</v>
      </c>
      <c r="E129" s="2" t="s">
        <v>80</v>
      </c>
      <c r="F129" s="2" t="s">
        <v>235</v>
      </c>
      <c r="G129" s="2" t="s">
        <v>264</v>
      </c>
      <c r="H129" s="2">
        <v>1</v>
      </c>
      <c r="I129" s="2">
        <v>2658.17</v>
      </c>
      <c r="J129" s="2">
        <v>1275.92</v>
      </c>
      <c r="K129" s="2">
        <v>0.1</v>
      </c>
      <c r="L129" s="2">
        <v>2392.35</v>
      </c>
    </row>
    <row r="130" spans="1:12" ht="15" customHeight="1" x14ac:dyDescent="0.3">
      <c r="A130" s="2">
        <v>100129</v>
      </c>
      <c r="B130" s="2" t="s">
        <v>397</v>
      </c>
      <c r="C130" s="2" t="s">
        <v>398</v>
      </c>
      <c r="D130" s="2" t="s">
        <v>92</v>
      </c>
      <c r="E130" s="2" t="s">
        <v>148</v>
      </c>
      <c r="F130" s="2" t="s">
        <v>334</v>
      </c>
      <c r="G130" s="2" t="s">
        <v>138</v>
      </c>
      <c r="H130" s="2">
        <v>7</v>
      </c>
      <c r="I130" s="2">
        <v>2142.59</v>
      </c>
      <c r="J130" s="2">
        <v>1071.29</v>
      </c>
      <c r="K130" s="2">
        <v>0.1</v>
      </c>
      <c r="L130" s="2">
        <v>13498.31</v>
      </c>
    </row>
    <row r="131" spans="1:12" ht="15" customHeight="1" x14ac:dyDescent="0.3">
      <c r="A131" s="2">
        <v>100130</v>
      </c>
      <c r="B131" s="2" t="s">
        <v>399</v>
      </c>
      <c r="C131" s="2" t="s">
        <v>400</v>
      </c>
      <c r="D131" s="2" t="s">
        <v>44</v>
      </c>
      <c r="E131" s="2" t="s">
        <v>124</v>
      </c>
      <c r="F131" s="2" t="s">
        <v>401</v>
      </c>
      <c r="G131" s="2" t="s">
        <v>50</v>
      </c>
      <c r="H131" s="2">
        <v>11</v>
      </c>
      <c r="I131" s="2">
        <v>115.23</v>
      </c>
      <c r="J131" s="2">
        <v>51.86</v>
      </c>
      <c r="K131" s="2">
        <v>0.1</v>
      </c>
      <c r="L131" s="2">
        <v>1140.81</v>
      </c>
    </row>
    <row r="132" spans="1:12" ht="15" customHeight="1" x14ac:dyDescent="0.3">
      <c r="A132" s="2">
        <v>100131</v>
      </c>
      <c r="B132" s="2" t="s">
        <v>402</v>
      </c>
      <c r="C132" s="2" t="s">
        <v>403</v>
      </c>
      <c r="D132" s="2" t="s">
        <v>337</v>
      </c>
      <c r="E132" s="2" t="s">
        <v>54</v>
      </c>
      <c r="F132" s="2" t="s">
        <v>178</v>
      </c>
      <c r="G132" s="2" t="s">
        <v>138</v>
      </c>
      <c r="H132" s="2">
        <v>5</v>
      </c>
      <c r="I132" s="2">
        <v>2363.71</v>
      </c>
      <c r="J132" s="2">
        <v>1181.8499999999999</v>
      </c>
      <c r="K132" s="2">
        <v>0</v>
      </c>
      <c r="L132" s="2">
        <v>11818.54</v>
      </c>
    </row>
    <row r="133" spans="1:12" ht="15" customHeight="1" x14ac:dyDescent="0.3">
      <c r="A133" s="2">
        <v>100132</v>
      </c>
      <c r="B133" s="2" t="s">
        <v>404</v>
      </c>
      <c r="C133" s="2" t="s">
        <v>405</v>
      </c>
      <c r="D133" s="2" t="s">
        <v>121</v>
      </c>
      <c r="E133" s="2" t="s">
        <v>181</v>
      </c>
      <c r="F133" s="2" t="s">
        <v>60</v>
      </c>
      <c r="G133" s="2" t="s">
        <v>322</v>
      </c>
      <c r="H133" s="2">
        <v>8</v>
      </c>
      <c r="I133" s="2">
        <v>489.3</v>
      </c>
      <c r="J133" s="2">
        <v>244.65</v>
      </c>
      <c r="K133" s="2">
        <v>0.05</v>
      </c>
      <c r="L133" s="2">
        <v>3718.68</v>
      </c>
    </row>
    <row r="134" spans="1:12" ht="15" customHeight="1" x14ac:dyDescent="0.3">
      <c r="A134" s="2">
        <v>100133</v>
      </c>
      <c r="B134" s="2" t="s">
        <v>406</v>
      </c>
      <c r="C134" s="2" t="s">
        <v>398</v>
      </c>
      <c r="D134" s="2" t="s">
        <v>32</v>
      </c>
      <c r="E134" s="2" t="s">
        <v>148</v>
      </c>
      <c r="F134" s="2" t="s">
        <v>156</v>
      </c>
      <c r="G134" s="2" t="s">
        <v>56</v>
      </c>
      <c r="H134" s="2">
        <v>12</v>
      </c>
      <c r="I134" s="2">
        <v>436.04</v>
      </c>
      <c r="J134" s="2">
        <v>196.22</v>
      </c>
      <c r="K134" s="2">
        <v>0.05</v>
      </c>
      <c r="L134" s="2">
        <v>4970.82</v>
      </c>
    </row>
    <row r="135" spans="1:12" ht="15" customHeight="1" x14ac:dyDescent="0.3">
      <c r="A135" s="2">
        <v>100134</v>
      </c>
      <c r="B135" s="2" t="s">
        <v>407</v>
      </c>
      <c r="C135" s="2" t="s">
        <v>408</v>
      </c>
      <c r="D135" s="2" t="s">
        <v>108</v>
      </c>
      <c r="E135" s="2" t="s">
        <v>188</v>
      </c>
      <c r="F135" s="2" t="s">
        <v>409</v>
      </c>
      <c r="G135" s="2" t="s">
        <v>183</v>
      </c>
      <c r="H135" s="2">
        <v>8</v>
      </c>
      <c r="I135" s="2">
        <v>204.09</v>
      </c>
      <c r="J135" s="2">
        <v>97.96</v>
      </c>
      <c r="K135" s="2">
        <v>0.2</v>
      </c>
      <c r="L135" s="2">
        <v>1306.19</v>
      </c>
    </row>
    <row r="136" spans="1:12" ht="15" customHeight="1" x14ac:dyDescent="0.3">
      <c r="A136" s="2">
        <v>100135</v>
      </c>
      <c r="B136" s="2" t="s">
        <v>410</v>
      </c>
      <c r="C136" s="2" t="s">
        <v>411</v>
      </c>
      <c r="D136" s="2" t="s">
        <v>20</v>
      </c>
      <c r="E136" s="2" t="s">
        <v>33</v>
      </c>
      <c r="F136" s="2" t="s">
        <v>412</v>
      </c>
      <c r="G136" s="2" t="s">
        <v>87</v>
      </c>
      <c r="H136" s="2">
        <v>3</v>
      </c>
      <c r="I136" s="2">
        <v>65690.91</v>
      </c>
      <c r="J136" s="2">
        <v>39414.550000000003</v>
      </c>
      <c r="K136" s="2">
        <v>0</v>
      </c>
      <c r="L136" s="2">
        <v>197072.73</v>
      </c>
    </row>
    <row r="137" spans="1:12" ht="15" customHeight="1" x14ac:dyDescent="0.3">
      <c r="A137" s="2">
        <v>100136</v>
      </c>
      <c r="B137" s="2" t="s">
        <v>312</v>
      </c>
      <c r="C137" s="2" t="s">
        <v>413</v>
      </c>
      <c r="D137" s="2" t="s">
        <v>92</v>
      </c>
      <c r="E137" s="2" t="s">
        <v>85</v>
      </c>
      <c r="F137" s="2" t="s">
        <v>226</v>
      </c>
      <c r="G137" s="2" t="s">
        <v>343</v>
      </c>
      <c r="H137" s="2">
        <v>9</v>
      </c>
      <c r="I137" s="2">
        <v>38132.01</v>
      </c>
      <c r="J137" s="2">
        <v>25929.77</v>
      </c>
      <c r="K137" s="2"/>
      <c r="L137" s="2">
        <v>343188.11</v>
      </c>
    </row>
    <row r="138" spans="1:12" ht="15" customHeight="1" x14ac:dyDescent="0.3">
      <c r="A138" s="2">
        <v>100137</v>
      </c>
      <c r="B138" s="2" t="s">
        <v>414</v>
      </c>
      <c r="C138" s="2" t="s">
        <v>415</v>
      </c>
      <c r="D138" s="2" t="s">
        <v>20</v>
      </c>
      <c r="E138" s="2" t="s">
        <v>27</v>
      </c>
      <c r="F138" s="2" t="s">
        <v>94</v>
      </c>
      <c r="G138" s="2" t="s">
        <v>302</v>
      </c>
      <c r="H138" s="2">
        <v>10</v>
      </c>
      <c r="I138" s="2">
        <v>6314.32</v>
      </c>
      <c r="J138" s="2">
        <v>3788.59</v>
      </c>
      <c r="K138" s="2">
        <v>0.2</v>
      </c>
      <c r="L138" s="2">
        <v>50514.59</v>
      </c>
    </row>
    <row r="139" spans="1:12" ht="15" customHeight="1" x14ac:dyDescent="0.3">
      <c r="A139" s="2">
        <v>100138</v>
      </c>
      <c r="B139" s="2" t="s">
        <v>416</v>
      </c>
      <c r="C139" s="2" t="s">
        <v>417</v>
      </c>
      <c r="D139" s="2" t="s">
        <v>209</v>
      </c>
      <c r="E139" s="2" t="s">
        <v>85</v>
      </c>
      <c r="F139" s="2" t="s">
        <v>418</v>
      </c>
      <c r="G139" s="2" t="s">
        <v>87</v>
      </c>
      <c r="H139" s="2">
        <v>7</v>
      </c>
      <c r="I139" s="2">
        <v>61939.99</v>
      </c>
      <c r="J139" s="2">
        <v>37163.99</v>
      </c>
      <c r="K139" s="2">
        <v>0.1</v>
      </c>
      <c r="L139" s="2">
        <v>390221.92</v>
      </c>
    </row>
    <row r="140" spans="1:12" ht="15" customHeight="1" x14ac:dyDescent="0.3">
      <c r="A140" s="2">
        <v>100139</v>
      </c>
      <c r="B140" s="2" t="s">
        <v>419</v>
      </c>
      <c r="C140" s="2" t="s">
        <v>420</v>
      </c>
      <c r="D140" s="2" t="s">
        <v>209</v>
      </c>
      <c r="E140" s="2" t="s">
        <v>65</v>
      </c>
      <c r="F140" s="2" t="s">
        <v>352</v>
      </c>
      <c r="G140" s="2" t="s">
        <v>277</v>
      </c>
      <c r="H140" s="2">
        <v>10</v>
      </c>
      <c r="I140" s="2">
        <v>4148.4399999999996</v>
      </c>
      <c r="J140" s="2">
        <v>2696.49</v>
      </c>
      <c r="K140" s="2">
        <v>0</v>
      </c>
      <c r="L140" s="2"/>
    </row>
    <row r="141" spans="1:12" ht="15" customHeight="1" x14ac:dyDescent="0.3">
      <c r="A141" s="2">
        <v>100140</v>
      </c>
      <c r="B141" s="2" t="s">
        <v>421</v>
      </c>
      <c r="C141" s="2" t="s">
        <v>422</v>
      </c>
      <c r="D141" s="2" t="s">
        <v>92</v>
      </c>
      <c r="E141" s="2" t="s">
        <v>74</v>
      </c>
      <c r="F141" s="2" t="s">
        <v>129</v>
      </c>
      <c r="G141" s="2" t="s">
        <v>23</v>
      </c>
      <c r="H141" s="2">
        <v>10</v>
      </c>
      <c r="I141" s="2">
        <v>9321.98</v>
      </c>
      <c r="J141" s="2">
        <v>5779.63</v>
      </c>
      <c r="K141" s="2">
        <v>0.2</v>
      </c>
      <c r="L141" s="2">
        <v>74575.87</v>
      </c>
    </row>
    <row r="142" spans="1:12" ht="15" customHeight="1" x14ac:dyDescent="0.3">
      <c r="A142" s="2">
        <v>100141</v>
      </c>
      <c r="B142" s="2" t="s">
        <v>423</v>
      </c>
      <c r="C142" s="2" t="s">
        <v>424</v>
      </c>
      <c r="D142" s="2" t="s">
        <v>47</v>
      </c>
      <c r="E142" s="2" t="s">
        <v>33</v>
      </c>
      <c r="F142" s="2" t="s">
        <v>165</v>
      </c>
      <c r="G142" s="2" t="s">
        <v>166</v>
      </c>
      <c r="H142" s="2">
        <v>10</v>
      </c>
      <c r="I142" s="2">
        <v>22556.76</v>
      </c>
      <c r="J142" s="2">
        <v>13082.92</v>
      </c>
      <c r="K142" s="2">
        <v>0.1</v>
      </c>
      <c r="L142" s="2">
        <v>203010.87</v>
      </c>
    </row>
    <row r="143" spans="1:12" ht="15" customHeight="1" x14ac:dyDescent="0.3">
      <c r="A143" s="2">
        <v>100142</v>
      </c>
      <c r="B143" s="2" t="s">
        <v>425</v>
      </c>
      <c r="C143" s="2" t="s">
        <v>426</v>
      </c>
      <c r="D143" s="2" t="s">
        <v>209</v>
      </c>
      <c r="E143" s="2" t="s">
        <v>181</v>
      </c>
      <c r="F143" s="2" t="s">
        <v>49</v>
      </c>
      <c r="G143" s="2" t="s">
        <v>338</v>
      </c>
      <c r="H143" s="2">
        <v>2</v>
      </c>
      <c r="I143" s="2">
        <v>147.72999999999999</v>
      </c>
      <c r="J143" s="2">
        <v>66.48</v>
      </c>
      <c r="K143" s="2">
        <v>0.1</v>
      </c>
      <c r="L143" s="2">
        <v>265.91000000000003</v>
      </c>
    </row>
    <row r="144" spans="1:12" ht="15" customHeight="1" x14ac:dyDescent="0.3">
      <c r="A144" s="2">
        <v>100143</v>
      </c>
      <c r="B144" s="2" t="s">
        <v>96</v>
      </c>
      <c r="C144" s="2" t="s">
        <v>427</v>
      </c>
      <c r="D144" s="2" t="s">
        <v>121</v>
      </c>
      <c r="E144" s="2" t="s">
        <v>128</v>
      </c>
      <c r="F144" s="2" t="s">
        <v>132</v>
      </c>
      <c r="G144" s="2" t="s">
        <v>110</v>
      </c>
      <c r="H144" s="2">
        <v>8</v>
      </c>
      <c r="I144" s="2">
        <v>1226.8900000000001</v>
      </c>
      <c r="J144" s="2">
        <v>736.13</v>
      </c>
      <c r="K144" s="2">
        <v>0.1</v>
      </c>
      <c r="L144" s="2">
        <v>8833.61</v>
      </c>
    </row>
    <row r="145" spans="1:12" ht="15" customHeight="1" x14ac:dyDescent="0.3">
      <c r="A145" s="2">
        <v>100144</v>
      </c>
      <c r="B145" s="2" t="s">
        <v>404</v>
      </c>
      <c r="C145" s="2" t="s">
        <v>428</v>
      </c>
      <c r="D145" s="2" t="s">
        <v>59</v>
      </c>
      <c r="E145" s="2" t="s">
        <v>27</v>
      </c>
      <c r="F145" s="2" t="s">
        <v>94</v>
      </c>
      <c r="G145" s="2" t="s">
        <v>277</v>
      </c>
      <c r="H145" s="2">
        <v>7</v>
      </c>
      <c r="I145" s="2">
        <v>3985.34</v>
      </c>
      <c r="J145" s="2">
        <v>2590.4699999999998</v>
      </c>
      <c r="K145" s="2">
        <v>0.05</v>
      </c>
      <c r="L145" s="2">
        <v>26502.54</v>
      </c>
    </row>
    <row r="146" spans="1:12" ht="15" customHeight="1" x14ac:dyDescent="0.3">
      <c r="A146" s="2">
        <v>100145</v>
      </c>
      <c r="B146" s="2" t="s">
        <v>429</v>
      </c>
      <c r="C146" s="2" t="s">
        <v>430</v>
      </c>
      <c r="D146" s="2" t="s">
        <v>155</v>
      </c>
      <c r="E146" s="2" t="s">
        <v>103</v>
      </c>
      <c r="F146" s="2" t="s">
        <v>28</v>
      </c>
      <c r="G146" s="2" t="s">
        <v>70</v>
      </c>
      <c r="H146" s="2">
        <v>3</v>
      </c>
      <c r="I146" s="2">
        <v>5541.79</v>
      </c>
      <c r="J146" s="2">
        <v>3325.07</v>
      </c>
      <c r="K146" s="2">
        <v>0.1</v>
      </c>
      <c r="L146" s="2">
        <v>14962.84</v>
      </c>
    </row>
    <row r="147" spans="1:12" ht="15" customHeight="1" x14ac:dyDescent="0.3">
      <c r="A147" s="2">
        <v>100146</v>
      </c>
      <c r="B147" s="2" t="s">
        <v>431</v>
      </c>
      <c r="C147" s="2" t="s">
        <v>432</v>
      </c>
      <c r="D147" s="2" t="s">
        <v>47</v>
      </c>
      <c r="E147" s="2" t="s">
        <v>54</v>
      </c>
      <c r="F147" s="2" t="s">
        <v>149</v>
      </c>
      <c r="G147" s="2" t="s">
        <v>150</v>
      </c>
      <c r="H147" s="2">
        <v>7</v>
      </c>
      <c r="I147" s="2">
        <v>2044.28</v>
      </c>
      <c r="J147" s="2">
        <v>1022.14</v>
      </c>
      <c r="K147" s="2">
        <v>0.05</v>
      </c>
      <c r="L147" s="2">
        <v>13594.43</v>
      </c>
    </row>
    <row r="148" spans="1:12" ht="15" customHeight="1" x14ac:dyDescent="0.3">
      <c r="A148" s="2">
        <v>100147</v>
      </c>
      <c r="B148" s="2" t="s">
        <v>433</v>
      </c>
      <c r="C148" s="2" t="s">
        <v>434</v>
      </c>
      <c r="D148" s="2" t="s">
        <v>44</v>
      </c>
      <c r="E148" s="2" t="s">
        <v>74</v>
      </c>
      <c r="F148" s="2" t="s">
        <v>435</v>
      </c>
      <c r="G148" s="2" t="s">
        <v>35</v>
      </c>
      <c r="H148" s="2">
        <v>4</v>
      </c>
      <c r="I148" s="2">
        <v>3121.7</v>
      </c>
      <c r="J148" s="2">
        <v>1560.85</v>
      </c>
      <c r="K148" s="2">
        <v>0.05</v>
      </c>
      <c r="L148" s="2">
        <v>11862.45</v>
      </c>
    </row>
    <row r="149" spans="1:12" ht="15" customHeight="1" x14ac:dyDescent="0.3">
      <c r="A149" s="2">
        <v>100148</v>
      </c>
      <c r="B149" s="2" t="s">
        <v>215</v>
      </c>
      <c r="C149" s="2" t="s">
        <v>436</v>
      </c>
      <c r="D149" s="2" t="s">
        <v>73</v>
      </c>
      <c r="E149" s="2" t="s">
        <v>54</v>
      </c>
      <c r="F149" s="2" t="s">
        <v>437</v>
      </c>
      <c r="G149" s="2" t="s">
        <v>221</v>
      </c>
      <c r="H149" s="2">
        <v>9</v>
      </c>
      <c r="I149" s="2">
        <v>1718.6</v>
      </c>
      <c r="J149" s="2">
        <v>859.3</v>
      </c>
      <c r="K149" s="2">
        <v>0.05</v>
      </c>
      <c r="L149" s="2">
        <v>14694.06</v>
      </c>
    </row>
    <row r="150" spans="1:12" ht="15" customHeight="1" x14ac:dyDescent="0.3">
      <c r="A150" s="2">
        <v>100149</v>
      </c>
      <c r="B150" s="2" t="s">
        <v>438</v>
      </c>
      <c r="C150" s="2" t="s">
        <v>439</v>
      </c>
      <c r="D150" s="2" t="s">
        <v>160</v>
      </c>
      <c r="E150" s="2" t="s">
        <v>181</v>
      </c>
      <c r="F150" s="2" t="s">
        <v>409</v>
      </c>
      <c r="G150" s="2" t="s">
        <v>200</v>
      </c>
      <c r="H150" s="2">
        <v>1</v>
      </c>
      <c r="I150" s="2">
        <v>173.31</v>
      </c>
      <c r="J150" s="2">
        <v>83.19</v>
      </c>
      <c r="K150" s="2">
        <v>0</v>
      </c>
      <c r="L150" s="2">
        <v>173.31</v>
      </c>
    </row>
    <row r="151" spans="1:12" ht="15" customHeight="1" x14ac:dyDescent="0.3">
      <c r="A151" s="2">
        <v>100150</v>
      </c>
      <c r="B151" s="2" t="s">
        <v>440</v>
      </c>
      <c r="C151" s="2" t="s">
        <v>441</v>
      </c>
      <c r="D151" s="2" t="s">
        <v>38</v>
      </c>
      <c r="E151" s="2" t="s">
        <v>124</v>
      </c>
      <c r="F151" s="2" t="s">
        <v>182</v>
      </c>
      <c r="G151" s="2" t="s">
        <v>200</v>
      </c>
      <c r="H151" s="2">
        <v>2</v>
      </c>
      <c r="I151" s="2">
        <v>190.45</v>
      </c>
      <c r="J151" s="2">
        <v>91.42</v>
      </c>
      <c r="K151" s="2">
        <v>0.15</v>
      </c>
      <c r="L151" s="2">
        <v>323.77</v>
      </c>
    </row>
    <row r="152" spans="1:12" ht="15" customHeight="1" x14ac:dyDescent="0.3">
      <c r="A152" s="2">
        <v>100151</v>
      </c>
      <c r="B152" s="2" t="s">
        <v>442</v>
      </c>
      <c r="C152" s="2" t="s">
        <v>379</v>
      </c>
      <c r="D152" s="2" t="s">
        <v>209</v>
      </c>
      <c r="E152" s="2" t="s">
        <v>48</v>
      </c>
      <c r="F152" s="2" t="s">
        <v>205</v>
      </c>
      <c r="G152" s="2" t="s">
        <v>206</v>
      </c>
      <c r="H152" s="2">
        <v>1</v>
      </c>
      <c r="I152" s="2">
        <v>296.91000000000003</v>
      </c>
      <c r="J152" s="2">
        <v>148.46</v>
      </c>
      <c r="K152" s="2">
        <v>0.15</v>
      </c>
      <c r="L152" s="2">
        <v>252.37</v>
      </c>
    </row>
    <row r="153" spans="1:12" ht="15" customHeight="1" x14ac:dyDescent="0.3">
      <c r="A153" s="2">
        <v>100152</v>
      </c>
      <c r="B153" s="2" t="s">
        <v>443</v>
      </c>
      <c r="C153" s="2" t="s">
        <v>444</v>
      </c>
      <c r="D153" s="2" t="s">
        <v>121</v>
      </c>
      <c r="E153" s="2" t="s">
        <v>93</v>
      </c>
      <c r="F153" s="2" t="s">
        <v>378</v>
      </c>
      <c r="G153" s="2" t="s">
        <v>29</v>
      </c>
      <c r="H153" s="2">
        <v>1</v>
      </c>
      <c r="I153" s="2">
        <v>4915.54</v>
      </c>
      <c r="J153" s="2">
        <v>3096.79</v>
      </c>
      <c r="K153" s="2">
        <v>0</v>
      </c>
      <c r="L153" s="2">
        <v>4915.54</v>
      </c>
    </row>
    <row r="154" spans="1:12" ht="15" customHeight="1" x14ac:dyDescent="0.3">
      <c r="A154" s="2">
        <v>100153</v>
      </c>
      <c r="B154" s="2" t="s">
        <v>445</v>
      </c>
      <c r="C154" s="2" t="s">
        <v>446</v>
      </c>
      <c r="D154" s="2" t="s">
        <v>121</v>
      </c>
      <c r="E154" s="2" t="s">
        <v>232</v>
      </c>
      <c r="F154" s="2" t="s">
        <v>321</v>
      </c>
      <c r="G154" s="2" t="s">
        <v>61</v>
      </c>
      <c r="H154" s="2">
        <v>8</v>
      </c>
      <c r="I154" s="2">
        <v>212.26</v>
      </c>
      <c r="J154" s="2">
        <v>106.13</v>
      </c>
      <c r="K154" s="2">
        <v>0.15</v>
      </c>
      <c r="L154" s="2">
        <v>1443.36</v>
      </c>
    </row>
    <row r="155" spans="1:12" ht="15" customHeight="1" x14ac:dyDescent="0.3">
      <c r="A155" s="2">
        <v>100154</v>
      </c>
      <c r="B155" s="2" t="s">
        <v>447</v>
      </c>
      <c r="C155" s="2" t="s">
        <v>448</v>
      </c>
      <c r="D155" s="2" t="s">
        <v>32</v>
      </c>
      <c r="E155" s="2" t="s">
        <v>33</v>
      </c>
      <c r="F155" s="2" t="s">
        <v>292</v>
      </c>
      <c r="G155" s="2" t="s">
        <v>110</v>
      </c>
      <c r="H155" s="2">
        <v>2</v>
      </c>
      <c r="I155" s="2">
        <v>1177.22</v>
      </c>
      <c r="J155" s="2">
        <v>706.33</v>
      </c>
      <c r="K155" s="2">
        <v>0</v>
      </c>
      <c r="L155" s="2">
        <v>2354.4299999999998</v>
      </c>
    </row>
    <row r="156" spans="1:12" ht="15" customHeight="1" x14ac:dyDescent="0.3">
      <c r="A156" s="2">
        <v>100155</v>
      </c>
      <c r="B156" s="2" t="s">
        <v>449</v>
      </c>
      <c r="C156" s="2" t="s">
        <v>450</v>
      </c>
      <c r="D156" s="2" t="s">
        <v>47</v>
      </c>
      <c r="E156" s="2" t="s">
        <v>103</v>
      </c>
      <c r="F156" s="2" t="s">
        <v>451</v>
      </c>
      <c r="G156" s="2" t="s">
        <v>29</v>
      </c>
      <c r="H156" s="2">
        <v>3</v>
      </c>
      <c r="I156" s="2">
        <v>4579.32</v>
      </c>
      <c r="J156" s="2">
        <v>2884.97</v>
      </c>
      <c r="K156" s="2">
        <v>0.2</v>
      </c>
      <c r="L156" s="2">
        <v>10990.36</v>
      </c>
    </row>
    <row r="157" spans="1:12" ht="15" customHeight="1" x14ac:dyDescent="0.3">
      <c r="A157" s="2">
        <v>100156</v>
      </c>
      <c r="B157" s="2" t="s">
        <v>452</v>
      </c>
      <c r="C157" s="2" t="s">
        <v>453</v>
      </c>
      <c r="D157" s="2" t="s">
        <v>160</v>
      </c>
      <c r="E157" s="2" t="s">
        <v>54</v>
      </c>
      <c r="F157" s="2" t="s">
        <v>141</v>
      </c>
      <c r="G157" s="2" t="s">
        <v>221</v>
      </c>
      <c r="H157" s="2">
        <v>8</v>
      </c>
      <c r="I157" s="2">
        <v>1749.14</v>
      </c>
      <c r="J157" s="2">
        <v>874.57</v>
      </c>
      <c r="K157" s="2">
        <v>0.1</v>
      </c>
      <c r="L157" s="2">
        <v>12593.79</v>
      </c>
    </row>
    <row r="158" spans="1:12" ht="15" customHeight="1" x14ac:dyDescent="0.3">
      <c r="A158" s="2">
        <v>100157</v>
      </c>
      <c r="B158" s="2" t="s">
        <v>454</v>
      </c>
      <c r="C158" s="2" t="s">
        <v>455</v>
      </c>
      <c r="D158" s="2" t="s">
        <v>59</v>
      </c>
      <c r="E158" s="2" t="s">
        <v>74</v>
      </c>
      <c r="F158" s="2" t="s">
        <v>22</v>
      </c>
      <c r="G158" s="2" t="s">
        <v>166</v>
      </c>
      <c r="H158" s="2">
        <v>6</v>
      </c>
      <c r="I158" s="2">
        <v>21429.78</v>
      </c>
      <c r="J158" s="2">
        <v>12429.27</v>
      </c>
      <c r="K158" s="2">
        <v>0.2</v>
      </c>
      <c r="L158" s="2">
        <v>102862.94</v>
      </c>
    </row>
    <row r="159" spans="1:12" ht="15" customHeight="1" x14ac:dyDescent="0.3">
      <c r="A159" s="2">
        <v>100158</v>
      </c>
      <c r="B159" s="2" t="s">
        <v>456</v>
      </c>
      <c r="C159" s="2" t="s">
        <v>457</v>
      </c>
      <c r="D159" s="2" t="s">
        <v>73</v>
      </c>
      <c r="E159" s="2" t="s">
        <v>188</v>
      </c>
      <c r="F159" s="2" t="s">
        <v>60</v>
      </c>
      <c r="G159" s="2" t="s">
        <v>61</v>
      </c>
      <c r="H159" s="2">
        <v>8</v>
      </c>
      <c r="I159" s="2">
        <v>233.75</v>
      </c>
      <c r="J159" s="2">
        <v>116.87</v>
      </c>
      <c r="K159" s="2">
        <v>0</v>
      </c>
      <c r="L159" s="2">
        <v>1869.98</v>
      </c>
    </row>
    <row r="160" spans="1:12" ht="15" customHeight="1" x14ac:dyDescent="0.3">
      <c r="A160" s="2">
        <v>100159</v>
      </c>
      <c r="B160" s="2" t="s">
        <v>458</v>
      </c>
      <c r="C160" s="2" t="s">
        <v>459</v>
      </c>
      <c r="D160" s="2" t="s">
        <v>32</v>
      </c>
      <c r="E160" s="2" t="s">
        <v>124</v>
      </c>
      <c r="F160" s="2" t="s">
        <v>325</v>
      </c>
      <c r="G160" s="2" t="s">
        <v>50</v>
      </c>
      <c r="H160" s="2">
        <v>12</v>
      </c>
      <c r="I160" s="2">
        <v>118.57</v>
      </c>
      <c r="J160" s="2">
        <v>53.35</v>
      </c>
      <c r="K160" s="2">
        <v>0.1</v>
      </c>
      <c r="L160" s="2">
        <v>1280.5</v>
      </c>
    </row>
    <row r="161" spans="1:12" ht="15" customHeight="1" x14ac:dyDescent="0.3">
      <c r="A161" s="2">
        <v>100160</v>
      </c>
      <c r="B161" s="2" t="s">
        <v>460</v>
      </c>
      <c r="C161" s="2" t="s">
        <v>461</v>
      </c>
      <c r="D161" s="2" t="s">
        <v>102</v>
      </c>
      <c r="E161" s="2" t="s">
        <v>27</v>
      </c>
      <c r="F161" s="2" t="s">
        <v>223</v>
      </c>
      <c r="G161" s="2" t="s">
        <v>29</v>
      </c>
      <c r="H161" s="2">
        <v>3</v>
      </c>
      <c r="I161" s="2">
        <v>4817.8100000000004</v>
      </c>
      <c r="J161" s="2">
        <v>3035.22</v>
      </c>
      <c r="K161" s="2">
        <v>0.05</v>
      </c>
      <c r="L161" s="2">
        <v>13730.75</v>
      </c>
    </row>
    <row r="162" spans="1:12" ht="15" customHeight="1" x14ac:dyDescent="0.3">
      <c r="A162" s="2">
        <v>100161</v>
      </c>
      <c r="B162" s="2" t="s">
        <v>433</v>
      </c>
      <c r="C162" s="2" t="s">
        <v>462</v>
      </c>
      <c r="D162" s="2" t="s">
        <v>64</v>
      </c>
      <c r="E162" s="2" t="s">
        <v>54</v>
      </c>
      <c r="F162" s="2" t="s">
        <v>463</v>
      </c>
      <c r="G162" s="2" t="s">
        <v>221</v>
      </c>
      <c r="H162" s="2">
        <v>10</v>
      </c>
      <c r="I162" s="2">
        <v>1710.58</v>
      </c>
      <c r="J162" s="2">
        <v>855.29</v>
      </c>
      <c r="K162" s="2">
        <v>0.2</v>
      </c>
      <c r="L162" s="2">
        <v>13684.63</v>
      </c>
    </row>
    <row r="163" spans="1:12" ht="15" customHeight="1" x14ac:dyDescent="0.3">
      <c r="A163" s="2">
        <v>100162</v>
      </c>
      <c r="B163" s="2" t="s">
        <v>464</v>
      </c>
      <c r="C163" s="2" t="s">
        <v>465</v>
      </c>
      <c r="D163" s="2" t="s">
        <v>64</v>
      </c>
      <c r="E163" s="2" t="s">
        <v>188</v>
      </c>
      <c r="F163" s="2" t="s">
        <v>125</v>
      </c>
      <c r="G163" s="2" t="s">
        <v>61</v>
      </c>
      <c r="H163" s="2">
        <v>10</v>
      </c>
      <c r="I163" s="2">
        <v>233.38</v>
      </c>
      <c r="J163" s="2">
        <v>116.69</v>
      </c>
      <c r="K163" s="2">
        <v>0.2</v>
      </c>
      <c r="L163" s="2">
        <v>1867.03</v>
      </c>
    </row>
    <row r="164" spans="1:12" ht="15" customHeight="1" x14ac:dyDescent="0.3">
      <c r="A164" s="2">
        <v>100163</v>
      </c>
      <c r="B164" s="2" t="s">
        <v>158</v>
      </c>
      <c r="C164" s="2" t="s">
        <v>466</v>
      </c>
      <c r="D164" s="2" t="s">
        <v>26</v>
      </c>
      <c r="E164" s="2" t="s">
        <v>27</v>
      </c>
      <c r="F164" s="2" t="s">
        <v>301</v>
      </c>
      <c r="G164" s="2" t="s">
        <v>277</v>
      </c>
      <c r="H164" s="2">
        <v>5</v>
      </c>
      <c r="I164" s="2">
        <v>3979.73</v>
      </c>
      <c r="J164" s="2">
        <v>2586.83</v>
      </c>
      <c r="K164" s="2">
        <v>0.05</v>
      </c>
      <c r="L164" s="2">
        <v>18903.740000000002</v>
      </c>
    </row>
    <row r="165" spans="1:12" ht="15" customHeight="1" x14ac:dyDescent="0.3">
      <c r="A165" s="2">
        <v>100164</v>
      </c>
      <c r="B165" s="2" t="s">
        <v>467</v>
      </c>
      <c r="C165" s="2" t="s">
        <v>468</v>
      </c>
      <c r="D165" s="2" t="s">
        <v>121</v>
      </c>
      <c r="E165" s="2" t="s">
        <v>80</v>
      </c>
      <c r="F165" s="2" t="s">
        <v>196</v>
      </c>
      <c r="G165" s="2" t="s">
        <v>56</v>
      </c>
      <c r="H165" s="2">
        <v>1</v>
      </c>
      <c r="I165" s="2">
        <v>439.99</v>
      </c>
      <c r="J165" s="2">
        <v>197.99</v>
      </c>
      <c r="K165" s="2"/>
      <c r="L165" s="2">
        <v>439.99</v>
      </c>
    </row>
    <row r="166" spans="1:12" ht="15" customHeight="1" x14ac:dyDescent="0.3">
      <c r="A166" s="2">
        <v>100165</v>
      </c>
      <c r="B166" s="2" t="s">
        <v>469</v>
      </c>
      <c r="C166" s="2" t="s">
        <v>470</v>
      </c>
      <c r="D166" s="2" t="s">
        <v>59</v>
      </c>
      <c r="E166" s="2" t="s">
        <v>93</v>
      </c>
      <c r="F166" s="2" t="s">
        <v>284</v>
      </c>
      <c r="G166" s="2" t="s">
        <v>70</v>
      </c>
      <c r="H166" s="2">
        <v>12</v>
      </c>
      <c r="I166" s="2">
        <v>5906.74</v>
      </c>
      <c r="J166" s="2">
        <v>3544.04</v>
      </c>
      <c r="K166" s="2">
        <v>0</v>
      </c>
      <c r="L166" s="2">
        <v>70880.84</v>
      </c>
    </row>
    <row r="167" spans="1:12" ht="15" customHeight="1" x14ac:dyDescent="0.3">
      <c r="A167" s="2">
        <v>100166</v>
      </c>
      <c r="B167" s="2" t="s">
        <v>471</v>
      </c>
      <c r="C167" s="2" t="s">
        <v>472</v>
      </c>
      <c r="D167" s="2" t="s">
        <v>59</v>
      </c>
      <c r="E167" s="2" t="s">
        <v>103</v>
      </c>
      <c r="F167" s="2" t="s">
        <v>28</v>
      </c>
      <c r="G167" s="2" t="s">
        <v>29</v>
      </c>
      <c r="H167" s="2">
        <v>12</v>
      </c>
      <c r="I167" s="2">
        <v>4595.18</v>
      </c>
      <c r="J167" s="2">
        <v>2894.96</v>
      </c>
      <c r="K167" s="2">
        <v>0.15</v>
      </c>
      <c r="L167" s="2">
        <v>46870.8</v>
      </c>
    </row>
    <row r="168" spans="1:12" ht="15" customHeight="1" x14ac:dyDescent="0.3">
      <c r="A168" s="2">
        <v>100167</v>
      </c>
      <c r="B168" s="2" t="s">
        <v>473</v>
      </c>
      <c r="C168" s="2" t="s">
        <v>474</v>
      </c>
      <c r="D168" s="2" t="s">
        <v>160</v>
      </c>
      <c r="E168" s="2" t="s">
        <v>48</v>
      </c>
      <c r="F168" s="2" t="s">
        <v>393</v>
      </c>
      <c r="G168" s="2" t="s">
        <v>338</v>
      </c>
      <c r="H168" s="2">
        <v>5</v>
      </c>
      <c r="I168" s="2">
        <v>155.07</v>
      </c>
      <c r="J168" s="2">
        <v>69.78</v>
      </c>
      <c r="K168" s="2">
        <v>0</v>
      </c>
      <c r="L168" s="2">
        <v>775.35</v>
      </c>
    </row>
    <row r="169" spans="1:12" ht="15" customHeight="1" x14ac:dyDescent="0.3">
      <c r="A169" s="2">
        <v>100168</v>
      </c>
      <c r="B169" s="2" t="s">
        <v>475</v>
      </c>
      <c r="C169" s="2" t="s">
        <v>476</v>
      </c>
      <c r="D169" s="2" t="s">
        <v>64</v>
      </c>
      <c r="E169" s="2" t="s">
        <v>21</v>
      </c>
      <c r="F169" s="2" t="s">
        <v>132</v>
      </c>
      <c r="G169" s="2" t="s">
        <v>110</v>
      </c>
      <c r="H169" s="2">
        <v>7</v>
      </c>
      <c r="I169" s="2">
        <v>1157.5899999999999</v>
      </c>
      <c r="J169" s="2">
        <v>694.55</v>
      </c>
      <c r="K169" s="2">
        <v>0.1</v>
      </c>
      <c r="L169" s="2">
        <v>7292.8</v>
      </c>
    </row>
    <row r="170" spans="1:12" ht="15" customHeight="1" x14ac:dyDescent="0.3">
      <c r="A170" s="2">
        <v>100169</v>
      </c>
      <c r="B170" s="2" t="s">
        <v>477</v>
      </c>
      <c r="C170" s="2" t="s">
        <v>478</v>
      </c>
      <c r="D170" s="2" t="s">
        <v>47</v>
      </c>
      <c r="E170" s="2" t="s">
        <v>54</v>
      </c>
      <c r="F170" s="2" t="s">
        <v>196</v>
      </c>
      <c r="G170" s="2" t="s">
        <v>56</v>
      </c>
      <c r="H170" s="2">
        <v>10</v>
      </c>
      <c r="I170" s="2">
        <v>431.45</v>
      </c>
      <c r="J170" s="2">
        <v>194.15</v>
      </c>
      <c r="K170" s="2">
        <v>0.05</v>
      </c>
      <c r="L170" s="2">
        <v>4098.78</v>
      </c>
    </row>
    <row r="171" spans="1:12" ht="15" customHeight="1" x14ac:dyDescent="0.3">
      <c r="A171" s="2">
        <v>100170</v>
      </c>
      <c r="B171" s="2" t="s">
        <v>479</v>
      </c>
      <c r="C171" s="2" t="s">
        <v>480</v>
      </c>
      <c r="D171" s="2" t="s">
        <v>44</v>
      </c>
      <c r="E171" s="2" t="s">
        <v>232</v>
      </c>
      <c r="F171" s="2" t="s">
        <v>205</v>
      </c>
      <c r="G171" s="2" t="s">
        <v>175</v>
      </c>
      <c r="H171" s="2">
        <v>2</v>
      </c>
      <c r="I171" s="2">
        <v>254.12</v>
      </c>
      <c r="J171" s="2">
        <v>127.06</v>
      </c>
      <c r="K171" s="2">
        <v>0</v>
      </c>
      <c r="L171" s="2">
        <v>508.23</v>
      </c>
    </row>
    <row r="172" spans="1:12" ht="15" customHeight="1" x14ac:dyDescent="0.3">
      <c r="A172" s="2">
        <v>100171</v>
      </c>
      <c r="B172" s="2" t="s">
        <v>385</v>
      </c>
      <c r="C172" s="2" t="s">
        <v>481</v>
      </c>
      <c r="D172" s="2" t="s">
        <v>44</v>
      </c>
      <c r="E172" s="2" t="s">
        <v>85</v>
      </c>
      <c r="F172" s="2" t="s">
        <v>75</v>
      </c>
      <c r="G172" s="2" t="s">
        <v>76</v>
      </c>
      <c r="H172" s="2">
        <v>7</v>
      </c>
      <c r="I172" s="2">
        <v>2412.6999999999998</v>
      </c>
      <c r="J172" s="2">
        <v>1326.98</v>
      </c>
      <c r="K172" s="2">
        <v>0.1</v>
      </c>
      <c r="L172" s="2">
        <v>15199.98</v>
      </c>
    </row>
    <row r="173" spans="1:12" ht="15" customHeight="1" x14ac:dyDescent="0.3">
      <c r="A173" s="2">
        <v>100172</v>
      </c>
      <c r="B173" s="2" t="s">
        <v>215</v>
      </c>
      <c r="C173" s="2" t="s">
        <v>482</v>
      </c>
      <c r="D173" s="2" t="s">
        <v>79</v>
      </c>
      <c r="E173" s="2" t="s">
        <v>65</v>
      </c>
      <c r="F173" s="2" t="s">
        <v>171</v>
      </c>
      <c r="G173" s="2" t="s">
        <v>116</v>
      </c>
      <c r="H173" s="2">
        <v>12</v>
      </c>
      <c r="I173" s="2">
        <v>3575.26</v>
      </c>
      <c r="J173" s="2">
        <v>2145.15</v>
      </c>
      <c r="K173" s="2">
        <v>0.05</v>
      </c>
      <c r="L173" s="2">
        <v>40757.93</v>
      </c>
    </row>
    <row r="174" spans="1:12" ht="15" customHeight="1" x14ac:dyDescent="0.3">
      <c r="A174" s="2">
        <v>100173</v>
      </c>
      <c r="B174" s="2" t="s">
        <v>36</v>
      </c>
      <c r="C174" s="2" t="s">
        <v>483</v>
      </c>
      <c r="D174" s="2" t="s">
        <v>92</v>
      </c>
      <c r="E174" s="2" t="s">
        <v>137</v>
      </c>
      <c r="F174" s="2" t="s">
        <v>484</v>
      </c>
      <c r="G174" s="2" t="s">
        <v>150</v>
      </c>
      <c r="H174" s="2">
        <v>8</v>
      </c>
      <c r="I174" s="2">
        <v>2017.26</v>
      </c>
      <c r="J174" s="2">
        <v>1008.63</v>
      </c>
      <c r="K174" s="2">
        <v>0</v>
      </c>
      <c r="L174" s="2">
        <v>16138.09</v>
      </c>
    </row>
    <row r="175" spans="1:12" ht="15" customHeight="1" x14ac:dyDescent="0.3">
      <c r="A175" s="2">
        <v>100174</v>
      </c>
      <c r="B175" s="2" t="s">
        <v>485</v>
      </c>
      <c r="C175" s="2" t="s">
        <v>486</v>
      </c>
      <c r="D175" s="2" t="s">
        <v>209</v>
      </c>
      <c r="E175" s="2" t="s">
        <v>65</v>
      </c>
      <c r="F175" s="2" t="s">
        <v>40</v>
      </c>
      <c r="G175" s="2" t="s">
        <v>41</v>
      </c>
      <c r="H175" s="2">
        <v>6</v>
      </c>
      <c r="I175" s="2">
        <v>5198.8900000000003</v>
      </c>
      <c r="J175" s="2">
        <v>3379.28</v>
      </c>
      <c r="K175" s="2">
        <v>0</v>
      </c>
      <c r="L175" s="2">
        <v>31193.360000000001</v>
      </c>
    </row>
    <row r="176" spans="1:12" ht="15" customHeight="1" x14ac:dyDescent="0.3">
      <c r="A176" s="2">
        <v>100175</v>
      </c>
      <c r="B176" s="2" t="s">
        <v>487</v>
      </c>
      <c r="C176" s="2" t="s">
        <v>488</v>
      </c>
      <c r="D176" s="2" t="s">
        <v>98</v>
      </c>
      <c r="E176" s="2" t="s">
        <v>74</v>
      </c>
      <c r="F176" s="2" t="s">
        <v>132</v>
      </c>
      <c r="G176" s="2" t="s">
        <v>76</v>
      </c>
      <c r="H176" s="2">
        <v>9</v>
      </c>
      <c r="I176" s="2">
        <v>2693.96</v>
      </c>
      <c r="J176" s="2">
        <v>1481.68</v>
      </c>
      <c r="K176" s="2">
        <v>0.1</v>
      </c>
      <c r="L176" s="2">
        <v>21821.07</v>
      </c>
    </row>
    <row r="177" spans="1:12" ht="15" customHeight="1" x14ac:dyDescent="0.3">
      <c r="A177" s="2">
        <v>100176</v>
      </c>
      <c r="B177" s="2" t="s">
        <v>224</v>
      </c>
      <c r="C177" s="2" t="s">
        <v>489</v>
      </c>
      <c r="D177" s="2" t="s">
        <v>108</v>
      </c>
      <c r="E177" s="2" t="s">
        <v>39</v>
      </c>
      <c r="F177" s="2" t="s">
        <v>378</v>
      </c>
      <c r="G177" s="2" t="s">
        <v>29</v>
      </c>
      <c r="H177" s="2">
        <v>10</v>
      </c>
      <c r="I177" s="2">
        <v>5058.8100000000004</v>
      </c>
      <c r="J177" s="2">
        <v>3187.05</v>
      </c>
      <c r="K177" s="2">
        <v>0.2</v>
      </c>
      <c r="L177" s="2"/>
    </row>
    <row r="178" spans="1:12" ht="15" customHeight="1" x14ac:dyDescent="0.3">
      <c r="A178" s="2">
        <v>100177</v>
      </c>
      <c r="B178" s="2" t="s">
        <v>490</v>
      </c>
      <c r="C178" s="2" t="s">
        <v>491</v>
      </c>
      <c r="D178" s="2" t="s">
        <v>32</v>
      </c>
      <c r="E178" s="2" t="s">
        <v>128</v>
      </c>
      <c r="F178" s="2" t="s">
        <v>34</v>
      </c>
      <c r="G178" s="2" t="s">
        <v>35</v>
      </c>
      <c r="H178" s="2">
        <v>12</v>
      </c>
      <c r="I178" s="2">
        <v>3068.93</v>
      </c>
      <c r="J178" s="2">
        <v>1534.46</v>
      </c>
      <c r="K178" s="2">
        <v>0</v>
      </c>
      <c r="L178" s="2">
        <v>36827.120000000003</v>
      </c>
    </row>
    <row r="179" spans="1:12" ht="15" customHeight="1" x14ac:dyDescent="0.3">
      <c r="A179" s="2">
        <v>100178</v>
      </c>
      <c r="B179" s="2" t="s">
        <v>492</v>
      </c>
      <c r="C179" s="2" t="s">
        <v>493</v>
      </c>
      <c r="D179" s="2" t="s">
        <v>73</v>
      </c>
      <c r="E179" s="2" t="s">
        <v>181</v>
      </c>
      <c r="F179" s="2" t="s">
        <v>199</v>
      </c>
      <c r="G179" s="2" t="s">
        <v>200</v>
      </c>
      <c r="H179" s="2">
        <v>10</v>
      </c>
      <c r="I179" s="2">
        <v>173.24</v>
      </c>
      <c r="J179" s="2">
        <v>83.15</v>
      </c>
      <c r="K179" s="2">
        <v>0</v>
      </c>
      <c r="L179" s="2">
        <v>1732.37</v>
      </c>
    </row>
    <row r="180" spans="1:12" ht="15" customHeight="1" x14ac:dyDescent="0.3">
      <c r="A180" s="2">
        <v>100179</v>
      </c>
      <c r="B180" s="2" t="s">
        <v>387</v>
      </c>
      <c r="C180" s="2" t="s">
        <v>494</v>
      </c>
      <c r="D180" s="2" t="s">
        <v>160</v>
      </c>
      <c r="E180" s="2" t="s">
        <v>124</v>
      </c>
      <c r="F180" s="2" t="s">
        <v>60</v>
      </c>
      <c r="G180" s="2" t="s">
        <v>322</v>
      </c>
      <c r="H180" s="2">
        <v>5</v>
      </c>
      <c r="I180" s="2">
        <v>470.58</v>
      </c>
      <c r="J180" s="2">
        <v>235.29</v>
      </c>
      <c r="K180" s="2">
        <v>0</v>
      </c>
      <c r="L180" s="2">
        <v>2352.89</v>
      </c>
    </row>
    <row r="181" spans="1:12" ht="15" customHeight="1" x14ac:dyDescent="0.3">
      <c r="A181" s="2">
        <v>100180</v>
      </c>
      <c r="B181" s="2" t="s">
        <v>495</v>
      </c>
      <c r="C181" s="2" t="s">
        <v>496</v>
      </c>
      <c r="D181" s="2" t="s">
        <v>79</v>
      </c>
      <c r="E181" s="2" t="s">
        <v>137</v>
      </c>
      <c r="F181" s="2" t="s">
        <v>246</v>
      </c>
      <c r="G181" s="2" t="s">
        <v>150</v>
      </c>
      <c r="H181" s="2">
        <v>2</v>
      </c>
      <c r="I181" s="2">
        <v>1843.93</v>
      </c>
      <c r="J181" s="2">
        <v>921.97</v>
      </c>
      <c r="K181" s="2">
        <v>0.15</v>
      </c>
      <c r="L181" s="2">
        <v>3134.68</v>
      </c>
    </row>
    <row r="182" spans="1:12" ht="15" customHeight="1" x14ac:dyDescent="0.3">
      <c r="A182" s="2">
        <v>100181</v>
      </c>
      <c r="B182" s="2" t="s">
        <v>212</v>
      </c>
      <c r="C182" s="2" t="s">
        <v>311</v>
      </c>
      <c r="D182" s="2" t="s">
        <v>44</v>
      </c>
      <c r="E182" s="2" t="s">
        <v>128</v>
      </c>
      <c r="F182" s="2" t="s">
        <v>435</v>
      </c>
      <c r="G182" s="2" t="s">
        <v>254</v>
      </c>
      <c r="H182" s="2">
        <v>9</v>
      </c>
      <c r="I182" s="2">
        <v>994.89</v>
      </c>
      <c r="J182" s="2">
        <v>596.92999999999995</v>
      </c>
      <c r="K182" s="2">
        <v>0</v>
      </c>
      <c r="L182" s="2">
        <v>8953.99</v>
      </c>
    </row>
    <row r="183" spans="1:12" ht="15" customHeight="1" x14ac:dyDescent="0.3">
      <c r="A183" s="2">
        <v>100182</v>
      </c>
      <c r="B183" s="2" t="s">
        <v>497</v>
      </c>
      <c r="C183" s="2" t="s">
        <v>498</v>
      </c>
      <c r="D183" s="2" t="s">
        <v>59</v>
      </c>
      <c r="E183" s="2" t="s">
        <v>181</v>
      </c>
      <c r="F183" s="2" t="s">
        <v>205</v>
      </c>
      <c r="G183" s="2" t="s">
        <v>206</v>
      </c>
      <c r="H183" s="2">
        <v>2</v>
      </c>
      <c r="I183" s="2">
        <v>273.2</v>
      </c>
      <c r="J183" s="2">
        <v>136.6</v>
      </c>
      <c r="K183" s="2">
        <v>0.15</v>
      </c>
      <c r="L183" s="2">
        <v>464.44</v>
      </c>
    </row>
    <row r="184" spans="1:12" ht="15" customHeight="1" x14ac:dyDescent="0.3">
      <c r="A184" s="2">
        <v>100183</v>
      </c>
      <c r="B184" s="2" t="s">
        <v>499</v>
      </c>
      <c r="C184" s="2" t="s">
        <v>500</v>
      </c>
      <c r="D184" s="2" t="s">
        <v>26</v>
      </c>
      <c r="E184" s="2" t="s">
        <v>74</v>
      </c>
      <c r="F184" s="2" t="s">
        <v>368</v>
      </c>
      <c r="G184" s="2" t="s">
        <v>35</v>
      </c>
      <c r="H184" s="2">
        <v>7</v>
      </c>
      <c r="I184" s="2">
        <v>3014.64</v>
      </c>
      <c r="J184" s="2">
        <v>1507.32</v>
      </c>
      <c r="K184" s="2"/>
      <c r="L184" s="2">
        <v>21102.49</v>
      </c>
    </row>
    <row r="185" spans="1:12" ht="15" customHeight="1" x14ac:dyDescent="0.3">
      <c r="A185" s="2">
        <v>100184</v>
      </c>
      <c r="B185" s="2" t="s">
        <v>71</v>
      </c>
      <c r="C185" s="2" t="s">
        <v>501</v>
      </c>
      <c r="D185" s="2" t="s">
        <v>98</v>
      </c>
      <c r="E185" s="2" t="s">
        <v>74</v>
      </c>
      <c r="F185" s="2" t="s">
        <v>295</v>
      </c>
      <c r="G185" s="2" t="s">
        <v>229</v>
      </c>
      <c r="H185" s="2">
        <v>3</v>
      </c>
      <c r="I185" s="2">
        <v>14063.01</v>
      </c>
      <c r="J185" s="2">
        <v>8437.7999999999993</v>
      </c>
      <c r="K185" s="2">
        <v>0.15</v>
      </c>
      <c r="L185" s="2">
        <v>35860.67</v>
      </c>
    </row>
    <row r="186" spans="1:12" ht="15" customHeight="1" x14ac:dyDescent="0.3">
      <c r="A186" s="2">
        <v>100185</v>
      </c>
      <c r="B186" s="2" t="s">
        <v>502</v>
      </c>
      <c r="C186" s="2" t="s">
        <v>503</v>
      </c>
      <c r="D186" s="2" t="s">
        <v>59</v>
      </c>
      <c r="E186" s="2" t="s">
        <v>124</v>
      </c>
      <c r="F186" s="2" t="s">
        <v>393</v>
      </c>
      <c r="G186" s="2" t="s">
        <v>338</v>
      </c>
      <c r="H186" s="2">
        <v>5</v>
      </c>
      <c r="I186" s="2">
        <v>143.63999999999999</v>
      </c>
      <c r="J186" s="2">
        <v>64.64</v>
      </c>
      <c r="K186" s="2">
        <v>0.1</v>
      </c>
      <c r="L186" s="2">
        <v>646.39</v>
      </c>
    </row>
    <row r="187" spans="1:12" ht="15" customHeight="1" x14ac:dyDescent="0.3">
      <c r="A187" s="2">
        <v>100186</v>
      </c>
      <c r="B187" s="2" t="s">
        <v>431</v>
      </c>
      <c r="C187" s="2" t="s">
        <v>504</v>
      </c>
      <c r="D187" s="2" t="s">
        <v>53</v>
      </c>
      <c r="E187" s="2" t="s">
        <v>148</v>
      </c>
      <c r="F187" s="2" t="s">
        <v>149</v>
      </c>
      <c r="G187" s="2" t="s">
        <v>150</v>
      </c>
      <c r="H187" s="2">
        <v>3</v>
      </c>
      <c r="I187" s="2">
        <v>1863.43</v>
      </c>
      <c r="J187" s="2">
        <v>931.71</v>
      </c>
      <c r="K187" s="2"/>
      <c r="L187" s="2">
        <v>5310.77</v>
      </c>
    </row>
    <row r="188" spans="1:12" ht="15" customHeight="1" x14ac:dyDescent="0.3">
      <c r="A188" s="2">
        <v>100187</v>
      </c>
      <c r="B188" s="2" t="s">
        <v>505</v>
      </c>
      <c r="C188" s="2" t="s">
        <v>112</v>
      </c>
      <c r="D188" s="2" t="s">
        <v>73</v>
      </c>
      <c r="E188" s="2" t="s">
        <v>124</v>
      </c>
      <c r="F188" s="2" t="s">
        <v>393</v>
      </c>
      <c r="G188" s="2" t="s">
        <v>50</v>
      </c>
      <c r="H188" s="2">
        <v>1</v>
      </c>
      <c r="I188" s="2">
        <v>115.41</v>
      </c>
      <c r="J188" s="2">
        <v>51.93</v>
      </c>
      <c r="K188" s="2"/>
      <c r="L188" s="2">
        <v>115.41</v>
      </c>
    </row>
    <row r="189" spans="1:12" ht="15" customHeight="1" x14ac:dyDescent="0.3">
      <c r="A189" s="2">
        <v>100188</v>
      </c>
      <c r="B189" s="2" t="s">
        <v>506</v>
      </c>
      <c r="C189" s="2" t="s">
        <v>507</v>
      </c>
      <c r="D189" s="2" t="s">
        <v>79</v>
      </c>
      <c r="E189" s="2" t="s">
        <v>74</v>
      </c>
      <c r="F189" s="2" t="s">
        <v>418</v>
      </c>
      <c r="G189" s="2" t="s">
        <v>90</v>
      </c>
      <c r="H189" s="2">
        <v>10</v>
      </c>
      <c r="I189" s="2">
        <v>46872.47</v>
      </c>
      <c r="J189" s="2">
        <v>30467.11</v>
      </c>
      <c r="K189" s="2">
        <v>0</v>
      </c>
      <c r="L189" s="2">
        <v>468724.74</v>
      </c>
    </row>
    <row r="190" spans="1:12" ht="15" customHeight="1" x14ac:dyDescent="0.3">
      <c r="A190" s="2">
        <v>100189</v>
      </c>
      <c r="B190" s="2" t="s">
        <v>508</v>
      </c>
      <c r="C190" s="2" t="s">
        <v>509</v>
      </c>
      <c r="D190" s="2" t="s">
        <v>26</v>
      </c>
      <c r="E190" s="2" t="s">
        <v>137</v>
      </c>
      <c r="F190" s="2" t="s">
        <v>149</v>
      </c>
      <c r="G190" s="2" t="s">
        <v>150</v>
      </c>
      <c r="H190" s="2">
        <v>12</v>
      </c>
      <c r="I190" s="2">
        <v>2044.28</v>
      </c>
      <c r="J190" s="2">
        <v>1022.14</v>
      </c>
      <c r="K190" s="2">
        <v>0.15</v>
      </c>
      <c r="L190" s="2">
        <v>20851.650000000001</v>
      </c>
    </row>
    <row r="191" spans="1:12" ht="15" customHeight="1" x14ac:dyDescent="0.3">
      <c r="A191" s="2">
        <v>100190</v>
      </c>
      <c r="B191" s="2" t="s">
        <v>510</v>
      </c>
      <c r="C191" s="2" t="s">
        <v>511</v>
      </c>
      <c r="D191" s="2" t="s">
        <v>92</v>
      </c>
      <c r="E191" s="2" t="s">
        <v>128</v>
      </c>
      <c r="F191" s="2" t="s">
        <v>145</v>
      </c>
      <c r="G191" s="2" t="s">
        <v>193</v>
      </c>
      <c r="H191" s="2">
        <v>6</v>
      </c>
      <c r="I191" s="2">
        <v>3423.15</v>
      </c>
      <c r="J191" s="2">
        <v>1711.58</v>
      </c>
      <c r="K191" s="2">
        <v>0.1</v>
      </c>
      <c r="L191" s="2">
        <v>18485.02</v>
      </c>
    </row>
    <row r="192" spans="1:12" ht="15" customHeight="1" x14ac:dyDescent="0.3">
      <c r="A192" s="2">
        <v>100191</v>
      </c>
      <c r="B192" s="2" t="s">
        <v>512</v>
      </c>
      <c r="C192" s="2" t="s">
        <v>513</v>
      </c>
      <c r="D192" s="2" t="s">
        <v>209</v>
      </c>
      <c r="E192" s="2" t="s">
        <v>188</v>
      </c>
      <c r="F192" s="2" t="s">
        <v>199</v>
      </c>
      <c r="G192" s="2" t="s">
        <v>200</v>
      </c>
      <c r="H192" s="2">
        <v>5</v>
      </c>
      <c r="I192" s="2">
        <v>175.91</v>
      </c>
      <c r="J192" s="2">
        <v>84.44</v>
      </c>
      <c r="K192" s="2">
        <v>0.15</v>
      </c>
      <c r="L192" s="2">
        <v>747.6</v>
      </c>
    </row>
    <row r="193" spans="1:12" ht="15" customHeight="1" x14ac:dyDescent="0.3">
      <c r="A193" s="2">
        <v>100192</v>
      </c>
      <c r="B193" s="2" t="s">
        <v>514</v>
      </c>
      <c r="C193" s="2" t="s">
        <v>515</v>
      </c>
      <c r="D193" s="2" t="s">
        <v>26</v>
      </c>
      <c r="E193" s="2" t="s">
        <v>124</v>
      </c>
      <c r="F193" s="2" t="s">
        <v>409</v>
      </c>
      <c r="G193" s="2" t="s">
        <v>200</v>
      </c>
      <c r="H193" s="2">
        <v>8</v>
      </c>
      <c r="I193" s="2">
        <v>189.46</v>
      </c>
      <c r="J193" s="2">
        <v>90.94</v>
      </c>
      <c r="K193" s="2">
        <v>0.1</v>
      </c>
      <c r="L193" s="2">
        <v>1364.09</v>
      </c>
    </row>
    <row r="194" spans="1:12" ht="15" customHeight="1" x14ac:dyDescent="0.3">
      <c r="A194" s="2">
        <v>100193</v>
      </c>
      <c r="B194" s="2" t="s">
        <v>130</v>
      </c>
      <c r="C194" s="2" t="s">
        <v>516</v>
      </c>
      <c r="D194" s="2" t="s">
        <v>47</v>
      </c>
      <c r="E194" s="2" t="s">
        <v>137</v>
      </c>
      <c r="F194" s="2" t="s">
        <v>178</v>
      </c>
      <c r="G194" s="2" t="s">
        <v>82</v>
      </c>
      <c r="H194" s="2">
        <v>9</v>
      </c>
      <c r="I194" s="2">
        <v>3002.83</v>
      </c>
      <c r="J194" s="2">
        <v>1501.41</v>
      </c>
      <c r="K194" s="2">
        <v>0</v>
      </c>
      <c r="L194" s="2">
        <v>27025.45</v>
      </c>
    </row>
    <row r="195" spans="1:12" ht="15" customHeight="1" x14ac:dyDescent="0.3">
      <c r="A195" s="2">
        <v>100194</v>
      </c>
      <c r="B195" s="2" t="s">
        <v>517</v>
      </c>
      <c r="C195" s="2" t="s">
        <v>518</v>
      </c>
      <c r="D195" s="2" t="s">
        <v>337</v>
      </c>
      <c r="E195" s="2" t="s">
        <v>210</v>
      </c>
      <c r="F195" s="2" t="s">
        <v>149</v>
      </c>
      <c r="G195" s="2" t="s">
        <v>264</v>
      </c>
      <c r="H195" s="2">
        <v>5</v>
      </c>
      <c r="I195" s="2">
        <v>2550.29</v>
      </c>
      <c r="J195" s="2">
        <v>1224.1400000000001</v>
      </c>
      <c r="K195" s="2">
        <v>0</v>
      </c>
      <c r="L195" s="2">
        <v>12751.46</v>
      </c>
    </row>
    <row r="196" spans="1:12" ht="15" customHeight="1" x14ac:dyDescent="0.3">
      <c r="A196" s="2">
        <v>100195</v>
      </c>
      <c r="B196" s="2" t="s">
        <v>519</v>
      </c>
      <c r="C196" s="2" t="s">
        <v>520</v>
      </c>
      <c r="D196" s="2" t="s">
        <v>209</v>
      </c>
      <c r="E196" s="2" t="s">
        <v>27</v>
      </c>
      <c r="F196" s="2" t="s">
        <v>276</v>
      </c>
      <c r="G196" s="2" t="s">
        <v>277</v>
      </c>
      <c r="H196" s="2">
        <v>5</v>
      </c>
      <c r="I196" s="2">
        <v>4415.7700000000004</v>
      </c>
      <c r="J196" s="2">
        <v>2870.25</v>
      </c>
      <c r="K196" s="2">
        <v>0.1</v>
      </c>
      <c r="L196" s="2">
        <v>19870.97</v>
      </c>
    </row>
    <row r="197" spans="1:12" ht="15" customHeight="1" x14ac:dyDescent="0.3">
      <c r="A197" s="2">
        <v>100196</v>
      </c>
      <c r="B197" s="2" t="s">
        <v>521</v>
      </c>
      <c r="C197" s="2" t="s">
        <v>522</v>
      </c>
      <c r="D197" s="2" t="s">
        <v>121</v>
      </c>
      <c r="E197" s="2" t="s">
        <v>148</v>
      </c>
      <c r="F197" s="2" t="s">
        <v>273</v>
      </c>
      <c r="G197" s="2" t="s">
        <v>157</v>
      </c>
      <c r="H197" s="2">
        <v>8</v>
      </c>
      <c r="I197" s="2">
        <v>656.8</v>
      </c>
      <c r="J197" s="2">
        <v>295.56</v>
      </c>
      <c r="K197" s="2">
        <v>0</v>
      </c>
      <c r="L197" s="2">
        <v>5254.38</v>
      </c>
    </row>
    <row r="198" spans="1:12" ht="15" customHeight="1" x14ac:dyDescent="0.3">
      <c r="A198" s="2">
        <v>100197</v>
      </c>
      <c r="B198" s="2" t="s">
        <v>523</v>
      </c>
      <c r="C198" s="2" t="s">
        <v>524</v>
      </c>
      <c r="D198" s="2" t="s">
        <v>92</v>
      </c>
      <c r="E198" s="2" t="s">
        <v>137</v>
      </c>
      <c r="F198" s="2" t="s">
        <v>317</v>
      </c>
      <c r="G198" s="2" t="s">
        <v>142</v>
      </c>
      <c r="H198" s="2">
        <v>8</v>
      </c>
      <c r="I198" s="2">
        <v>1483.28</v>
      </c>
      <c r="J198" s="2">
        <v>741.64</v>
      </c>
      <c r="K198" s="2">
        <v>0.1</v>
      </c>
      <c r="L198" s="2">
        <v>10679.59</v>
      </c>
    </row>
    <row r="199" spans="1:12" ht="15" customHeight="1" x14ac:dyDescent="0.3">
      <c r="A199" s="2">
        <v>100198</v>
      </c>
      <c r="B199" s="2" t="s">
        <v>525</v>
      </c>
      <c r="C199" s="2" t="s">
        <v>526</v>
      </c>
      <c r="D199" s="2" t="s">
        <v>92</v>
      </c>
      <c r="E199" s="2" t="s">
        <v>93</v>
      </c>
      <c r="F199" s="2" t="s">
        <v>94</v>
      </c>
      <c r="G199" s="2" t="s">
        <v>277</v>
      </c>
      <c r="H199" s="2">
        <v>5</v>
      </c>
      <c r="I199" s="2">
        <v>4065.43</v>
      </c>
      <c r="J199" s="2">
        <v>2642.53</v>
      </c>
      <c r="K199" s="2">
        <v>0.15</v>
      </c>
      <c r="L199" s="2">
        <v>17278.060000000001</v>
      </c>
    </row>
    <row r="200" spans="1:12" ht="15" customHeight="1" x14ac:dyDescent="0.3">
      <c r="A200" s="2">
        <v>100199</v>
      </c>
      <c r="B200" s="2" t="s">
        <v>527</v>
      </c>
      <c r="C200" s="2" t="s">
        <v>528</v>
      </c>
      <c r="D200" s="2" t="s">
        <v>26</v>
      </c>
      <c r="E200" s="2" t="s">
        <v>33</v>
      </c>
      <c r="F200" s="2" t="s">
        <v>368</v>
      </c>
      <c r="G200" s="2" t="s">
        <v>243</v>
      </c>
      <c r="H200" s="2">
        <v>3</v>
      </c>
      <c r="I200" s="2">
        <v>2252.0500000000002</v>
      </c>
      <c r="J200" s="2">
        <v>1238.6300000000001</v>
      </c>
      <c r="K200" s="2">
        <v>0.1</v>
      </c>
      <c r="L200" s="2">
        <v>6080.52</v>
      </c>
    </row>
    <row r="201" spans="1:12" ht="15" customHeight="1" x14ac:dyDescent="0.3">
      <c r="A201" s="2">
        <v>100200</v>
      </c>
      <c r="B201" s="2" t="s">
        <v>529</v>
      </c>
      <c r="C201" s="2" t="s">
        <v>530</v>
      </c>
      <c r="D201" s="2" t="s">
        <v>92</v>
      </c>
      <c r="E201" s="2" t="s">
        <v>85</v>
      </c>
      <c r="F201" s="2" t="s">
        <v>145</v>
      </c>
      <c r="G201" s="2" t="s">
        <v>110</v>
      </c>
      <c r="H201" s="2">
        <v>7</v>
      </c>
      <c r="I201" s="2">
        <v>1162.44</v>
      </c>
      <c r="J201" s="2">
        <v>697.46</v>
      </c>
      <c r="K201" s="2">
        <v>0.1</v>
      </c>
      <c r="L201" s="2">
        <v>7323.38</v>
      </c>
    </row>
    <row r="202" spans="1:12" ht="15" customHeight="1" x14ac:dyDescent="0.3">
      <c r="A202" s="2">
        <v>100201</v>
      </c>
      <c r="B202" s="2" t="s">
        <v>296</v>
      </c>
      <c r="C202" s="2" t="s">
        <v>531</v>
      </c>
      <c r="D202" s="2" t="s">
        <v>59</v>
      </c>
      <c r="E202" s="2" t="s">
        <v>181</v>
      </c>
      <c r="F202" s="2" t="s">
        <v>350</v>
      </c>
      <c r="G202" s="2" t="s">
        <v>322</v>
      </c>
      <c r="H202" s="2">
        <v>5</v>
      </c>
      <c r="I202" s="2">
        <v>508.59</v>
      </c>
      <c r="J202" s="2">
        <v>254.3</v>
      </c>
      <c r="K202" s="2">
        <v>0.2</v>
      </c>
      <c r="L202" s="2">
        <v>2034.37</v>
      </c>
    </row>
    <row r="203" spans="1:12" ht="15" customHeight="1" x14ac:dyDescent="0.3">
      <c r="A203" s="2">
        <v>100202</v>
      </c>
      <c r="B203" s="2" t="s">
        <v>532</v>
      </c>
      <c r="C203" s="2" t="s">
        <v>533</v>
      </c>
      <c r="D203" s="2" t="s">
        <v>98</v>
      </c>
      <c r="E203" s="2" t="s">
        <v>93</v>
      </c>
      <c r="F203" s="2" t="s">
        <v>223</v>
      </c>
      <c r="G203" s="2" t="s">
        <v>70</v>
      </c>
      <c r="H203" s="2">
        <v>7</v>
      </c>
      <c r="I203" s="2">
        <v>5859.41</v>
      </c>
      <c r="J203" s="2">
        <v>3515.64</v>
      </c>
      <c r="K203" s="2">
        <v>0.2</v>
      </c>
      <c r="L203" s="2">
        <v>32812.68</v>
      </c>
    </row>
    <row r="204" spans="1:12" ht="15" customHeight="1" x14ac:dyDescent="0.3">
      <c r="A204" s="2">
        <v>100203</v>
      </c>
      <c r="B204" s="2" t="s">
        <v>534</v>
      </c>
      <c r="C204" s="2" t="s">
        <v>365</v>
      </c>
      <c r="D204" s="2" t="s">
        <v>20</v>
      </c>
      <c r="E204" s="2" t="s">
        <v>93</v>
      </c>
      <c r="F204" s="2" t="s">
        <v>535</v>
      </c>
      <c r="G204" s="2" t="s">
        <v>302</v>
      </c>
      <c r="H204" s="2">
        <v>1</v>
      </c>
      <c r="I204" s="2">
        <v>6091.09</v>
      </c>
      <c r="J204" s="2">
        <v>3654.65</v>
      </c>
      <c r="K204" s="2">
        <v>0.1</v>
      </c>
      <c r="L204" s="2">
        <v>5481.98</v>
      </c>
    </row>
    <row r="205" spans="1:12" ht="15" customHeight="1" x14ac:dyDescent="0.3">
      <c r="A205" s="2">
        <v>100204</v>
      </c>
      <c r="B205" s="2" t="s">
        <v>36</v>
      </c>
      <c r="C205" s="2" t="s">
        <v>536</v>
      </c>
      <c r="D205" s="2" t="s">
        <v>102</v>
      </c>
      <c r="E205" s="2" t="s">
        <v>54</v>
      </c>
      <c r="F205" s="2" t="s">
        <v>141</v>
      </c>
      <c r="G205" s="2" t="s">
        <v>142</v>
      </c>
      <c r="H205" s="2">
        <v>8</v>
      </c>
      <c r="I205" s="2">
        <v>1539.44</v>
      </c>
      <c r="J205" s="2">
        <v>769.72</v>
      </c>
      <c r="K205" s="2">
        <v>0.05</v>
      </c>
      <c r="L205" s="2">
        <v>11699.76</v>
      </c>
    </row>
    <row r="206" spans="1:12" ht="15" customHeight="1" x14ac:dyDescent="0.3">
      <c r="A206" s="2">
        <v>100205</v>
      </c>
      <c r="B206" s="2" t="s">
        <v>537</v>
      </c>
      <c r="C206" s="2" t="s">
        <v>538</v>
      </c>
      <c r="D206" s="2" t="s">
        <v>47</v>
      </c>
      <c r="E206" s="2" t="s">
        <v>65</v>
      </c>
      <c r="F206" s="2" t="s">
        <v>539</v>
      </c>
      <c r="G206" s="2" t="s">
        <v>105</v>
      </c>
      <c r="H206" s="2">
        <v>9</v>
      </c>
      <c r="I206" s="2">
        <v>2762.56</v>
      </c>
      <c r="J206" s="2">
        <v>1712.79</v>
      </c>
      <c r="K206" s="2">
        <v>0.2</v>
      </c>
      <c r="L206" s="2">
        <v>19890.43</v>
      </c>
    </row>
    <row r="207" spans="1:12" ht="15" customHeight="1" x14ac:dyDescent="0.3">
      <c r="A207" s="2">
        <v>100206</v>
      </c>
      <c r="B207" s="2" t="s">
        <v>203</v>
      </c>
      <c r="C207" s="2" t="s">
        <v>540</v>
      </c>
      <c r="D207" s="2" t="s">
        <v>64</v>
      </c>
      <c r="E207" s="2" t="s">
        <v>148</v>
      </c>
      <c r="F207" s="2" t="s">
        <v>463</v>
      </c>
      <c r="G207" s="2" t="s">
        <v>221</v>
      </c>
      <c r="H207" s="2">
        <v>8</v>
      </c>
      <c r="I207" s="2">
        <v>1768.97</v>
      </c>
      <c r="J207" s="2">
        <v>884.48</v>
      </c>
      <c r="K207" s="2"/>
      <c r="L207" s="2">
        <v>12736.57</v>
      </c>
    </row>
    <row r="208" spans="1:12" ht="15" customHeight="1" x14ac:dyDescent="0.3">
      <c r="A208" s="2">
        <v>100207</v>
      </c>
      <c r="B208" s="2" t="s">
        <v>541</v>
      </c>
      <c r="C208" s="2" t="s">
        <v>542</v>
      </c>
      <c r="D208" s="2" t="s">
        <v>32</v>
      </c>
      <c r="E208" s="2" t="s">
        <v>124</v>
      </c>
      <c r="F208" s="2" t="s">
        <v>205</v>
      </c>
      <c r="G208" s="2" t="s">
        <v>175</v>
      </c>
      <c r="H208" s="2">
        <v>2</v>
      </c>
      <c r="I208" s="2">
        <v>248.43</v>
      </c>
      <c r="J208" s="2">
        <v>124.21</v>
      </c>
      <c r="K208" s="2">
        <v>0.05</v>
      </c>
      <c r="L208" s="2">
        <v>472.02</v>
      </c>
    </row>
    <row r="209" spans="1:12" ht="15" customHeight="1" x14ac:dyDescent="0.3">
      <c r="A209" s="2">
        <v>100208</v>
      </c>
      <c r="B209" s="2" t="s">
        <v>543</v>
      </c>
      <c r="C209" s="2" t="s">
        <v>544</v>
      </c>
      <c r="D209" s="2" t="s">
        <v>92</v>
      </c>
      <c r="E209" s="2" t="s">
        <v>181</v>
      </c>
      <c r="F209" s="2" t="s">
        <v>393</v>
      </c>
      <c r="G209" s="2" t="s">
        <v>338</v>
      </c>
      <c r="H209" s="2">
        <v>11</v>
      </c>
      <c r="I209" s="2">
        <v>152.19999999999999</v>
      </c>
      <c r="J209" s="2">
        <v>68.489999999999995</v>
      </c>
      <c r="K209" s="2">
        <v>0.05</v>
      </c>
      <c r="L209" s="2">
        <v>1590.48</v>
      </c>
    </row>
    <row r="210" spans="1:12" ht="15" customHeight="1" x14ac:dyDescent="0.3">
      <c r="A210" s="2">
        <v>100209</v>
      </c>
      <c r="B210" s="2" t="s">
        <v>545</v>
      </c>
      <c r="C210" s="2" t="s">
        <v>285</v>
      </c>
      <c r="D210" s="2" t="s">
        <v>92</v>
      </c>
      <c r="E210" s="2" t="s">
        <v>124</v>
      </c>
      <c r="F210" s="2" t="s">
        <v>546</v>
      </c>
      <c r="G210" s="2" t="s">
        <v>61</v>
      </c>
      <c r="H210" s="2">
        <v>11</v>
      </c>
      <c r="I210" s="2">
        <v>234.07</v>
      </c>
      <c r="J210" s="2">
        <v>117.03</v>
      </c>
      <c r="K210" s="2">
        <v>0</v>
      </c>
      <c r="L210" s="2">
        <v>2574.75</v>
      </c>
    </row>
    <row r="211" spans="1:12" ht="15" customHeight="1" x14ac:dyDescent="0.3">
      <c r="A211" s="2">
        <v>100210</v>
      </c>
      <c r="B211" s="2" t="s">
        <v>414</v>
      </c>
      <c r="C211" s="2" t="s">
        <v>547</v>
      </c>
      <c r="D211" s="2" t="s">
        <v>121</v>
      </c>
      <c r="E211" s="2" t="s">
        <v>188</v>
      </c>
      <c r="F211" s="2" t="s">
        <v>393</v>
      </c>
      <c r="G211" s="2" t="s">
        <v>50</v>
      </c>
      <c r="H211" s="2">
        <v>7</v>
      </c>
      <c r="I211" s="2">
        <v>126.29</v>
      </c>
      <c r="J211" s="2">
        <v>56.83</v>
      </c>
      <c r="K211" s="2">
        <v>0.05</v>
      </c>
      <c r="L211" s="2">
        <v>839.86</v>
      </c>
    </row>
    <row r="212" spans="1:12" ht="15" customHeight="1" x14ac:dyDescent="0.3">
      <c r="A212" s="2">
        <v>100211</v>
      </c>
      <c r="B212" s="2" t="s">
        <v>548</v>
      </c>
      <c r="C212" s="2" t="s">
        <v>549</v>
      </c>
      <c r="D212" s="2" t="s">
        <v>59</v>
      </c>
      <c r="E212" s="2" t="s">
        <v>137</v>
      </c>
      <c r="F212" s="2" t="s">
        <v>149</v>
      </c>
      <c r="G212" s="2" t="s">
        <v>264</v>
      </c>
      <c r="H212" s="2">
        <v>1</v>
      </c>
      <c r="I212" s="2">
        <v>2764.35</v>
      </c>
      <c r="J212" s="2">
        <v>1326.89</v>
      </c>
      <c r="K212" s="2">
        <v>0</v>
      </c>
      <c r="L212" s="2">
        <v>2764.35</v>
      </c>
    </row>
    <row r="213" spans="1:12" ht="15" customHeight="1" x14ac:dyDescent="0.3">
      <c r="A213" s="2">
        <v>100212</v>
      </c>
      <c r="B213" s="2" t="s">
        <v>467</v>
      </c>
      <c r="C213" s="2" t="s">
        <v>550</v>
      </c>
      <c r="D213" s="2" t="s">
        <v>79</v>
      </c>
      <c r="E213" s="2" t="s">
        <v>103</v>
      </c>
      <c r="F213" s="2" t="s">
        <v>104</v>
      </c>
      <c r="G213" s="2" t="s">
        <v>116</v>
      </c>
      <c r="H213" s="2">
        <v>1</v>
      </c>
      <c r="I213" s="2">
        <v>3429.81</v>
      </c>
      <c r="J213" s="2">
        <v>2057.88</v>
      </c>
      <c r="K213" s="2">
        <v>0</v>
      </c>
      <c r="L213" s="2">
        <v>3429.81</v>
      </c>
    </row>
    <row r="214" spans="1:12" ht="15" customHeight="1" x14ac:dyDescent="0.3">
      <c r="A214" s="2">
        <v>100213</v>
      </c>
      <c r="B214" s="2" t="s">
        <v>416</v>
      </c>
      <c r="C214" s="2" t="s">
        <v>551</v>
      </c>
      <c r="D214" s="2" t="s">
        <v>47</v>
      </c>
      <c r="E214" s="2" t="s">
        <v>188</v>
      </c>
      <c r="F214" s="2" t="s">
        <v>174</v>
      </c>
      <c r="G214" s="2" t="s">
        <v>175</v>
      </c>
      <c r="H214" s="2">
        <v>9</v>
      </c>
      <c r="I214" s="2">
        <v>243.69</v>
      </c>
      <c r="J214" s="2">
        <v>121.85</v>
      </c>
      <c r="K214" s="2">
        <v>0.15</v>
      </c>
      <c r="L214" s="2">
        <v>1864.26</v>
      </c>
    </row>
    <row r="215" spans="1:12" ht="15" customHeight="1" x14ac:dyDescent="0.3">
      <c r="A215" s="2">
        <v>100214</v>
      </c>
      <c r="B215" s="2" t="s">
        <v>552</v>
      </c>
      <c r="C215" s="2" t="s">
        <v>553</v>
      </c>
      <c r="D215" s="2" t="s">
        <v>32</v>
      </c>
      <c r="E215" s="2" t="s">
        <v>137</v>
      </c>
      <c r="F215" s="2" t="s">
        <v>235</v>
      </c>
      <c r="G215" s="2" t="s">
        <v>264</v>
      </c>
      <c r="H215" s="2">
        <v>11</v>
      </c>
      <c r="I215" s="2">
        <v>2806.47</v>
      </c>
      <c r="J215" s="2">
        <v>1347.11</v>
      </c>
      <c r="K215" s="2"/>
      <c r="L215" s="2">
        <v>29327.61</v>
      </c>
    </row>
    <row r="216" spans="1:12" ht="15" customHeight="1" x14ac:dyDescent="0.3">
      <c r="A216" s="2">
        <v>100215</v>
      </c>
      <c r="B216" s="2" t="s">
        <v>554</v>
      </c>
      <c r="C216" s="2" t="s">
        <v>555</v>
      </c>
      <c r="D216" s="2" t="s">
        <v>209</v>
      </c>
      <c r="E216" s="2" t="s">
        <v>181</v>
      </c>
      <c r="F216" s="2" t="s">
        <v>556</v>
      </c>
      <c r="G216" s="2" t="s">
        <v>175</v>
      </c>
      <c r="H216" s="2">
        <v>11</v>
      </c>
      <c r="I216" s="2">
        <v>245.81</v>
      </c>
      <c r="J216" s="2">
        <v>122.91</v>
      </c>
      <c r="K216" s="2">
        <v>0.1</v>
      </c>
      <c r="L216" s="2"/>
    </row>
    <row r="217" spans="1:12" ht="15" customHeight="1" x14ac:dyDescent="0.3">
      <c r="A217" s="2">
        <v>100216</v>
      </c>
      <c r="B217" s="2" t="s">
        <v>557</v>
      </c>
      <c r="C217" s="2" t="s">
        <v>558</v>
      </c>
      <c r="D217" s="2" t="s">
        <v>92</v>
      </c>
      <c r="E217" s="2" t="s">
        <v>93</v>
      </c>
      <c r="F217" s="2" t="s">
        <v>94</v>
      </c>
      <c r="G217" s="2" t="s">
        <v>277</v>
      </c>
      <c r="H217" s="2">
        <v>11</v>
      </c>
      <c r="I217" s="2">
        <v>4230.96</v>
      </c>
      <c r="J217" s="2">
        <v>2750.12</v>
      </c>
      <c r="K217" s="2">
        <v>0.05</v>
      </c>
      <c r="L217" s="2">
        <v>44213.49</v>
      </c>
    </row>
    <row r="218" spans="1:12" ht="15" customHeight="1" x14ac:dyDescent="0.3">
      <c r="A218" s="2">
        <v>100217</v>
      </c>
      <c r="B218" s="2" t="s">
        <v>495</v>
      </c>
      <c r="C218" s="2" t="s">
        <v>559</v>
      </c>
      <c r="D218" s="2" t="s">
        <v>38</v>
      </c>
      <c r="E218" s="2" t="s">
        <v>124</v>
      </c>
      <c r="F218" s="2" t="s">
        <v>309</v>
      </c>
      <c r="G218" s="2" t="s">
        <v>206</v>
      </c>
      <c r="H218" s="2">
        <v>8</v>
      </c>
      <c r="I218" s="2">
        <v>273.23</v>
      </c>
      <c r="J218" s="2">
        <v>136.62</v>
      </c>
      <c r="K218" s="2">
        <v>0</v>
      </c>
      <c r="L218" s="2"/>
    </row>
    <row r="219" spans="1:12" ht="15" customHeight="1" x14ac:dyDescent="0.3">
      <c r="A219" s="2">
        <v>100218</v>
      </c>
      <c r="B219" s="2" t="s">
        <v>560</v>
      </c>
      <c r="C219" s="2" t="s">
        <v>561</v>
      </c>
      <c r="D219" s="2" t="s">
        <v>59</v>
      </c>
      <c r="E219" s="2" t="s">
        <v>74</v>
      </c>
      <c r="F219" s="2" t="s">
        <v>226</v>
      </c>
      <c r="G219" s="2" t="s">
        <v>90</v>
      </c>
      <c r="H219" s="2">
        <v>10</v>
      </c>
      <c r="I219" s="2">
        <v>46663.78</v>
      </c>
      <c r="J219" s="2">
        <v>30331.46</v>
      </c>
      <c r="K219" s="2">
        <v>0</v>
      </c>
      <c r="L219" s="2">
        <v>466637.78</v>
      </c>
    </row>
    <row r="220" spans="1:12" ht="15" customHeight="1" x14ac:dyDescent="0.3">
      <c r="A220" s="2">
        <v>100219</v>
      </c>
      <c r="B220" s="2" t="s">
        <v>527</v>
      </c>
      <c r="C220" s="2" t="s">
        <v>562</v>
      </c>
      <c r="D220" s="2" t="s">
        <v>47</v>
      </c>
      <c r="E220" s="2" t="s">
        <v>33</v>
      </c>
      <c r="F220" s="2" t="s">
        <v>22</v>
      </c>
      <c r="G220" s="2" t="s">
        <v>229</v>
      </c>
      <c r="H220" s="2">
        <v>11</v>
      </c>
      <c r="I220" s="2">
        <v>13869.13</v>
      </c>
      <c r="J220" s="2">
        <v>8321.48</v>
      </c>
      <c r="K220" s="2">
        <v>0.15</v>
      </c>
      <c r="L220" s="2">
        <v>129676.34</v>
      </c>
    </row>
    <row r="221" spans="1:12" ht="15" customHeight="1" x14ac:dyDescent="0.3">
      <c r="A221" s="2">
        <v>100220</v>
      </c>
      <c r="B221" s="2" t="s">
        <v>563</v>
      </c>
      <c r="C221" s="2" t="s">
        <v>564</v>
      </c>
      <c r="D221" s="2" t="s">
        <v>38</v>
      </c>
      <c r="E221" s="2" t="s">
        <v>232</v>
      </c>
      <c r="F221" s="2" t="s">
        <v>60</v>
      </c>
      <c r="G221" s="2" t="s">
        <v>61</v>
      </c>
      <c r="H221" s="2">
        <v>2</v>
      </c>
      <c r="I221" s="2">
        <v>220.46</v>
      </c>
      <c r="J221" s="2">
        <v>110.23</v>
      </c>
      <c r="K221" s="2">
        <v>0.1</v>
      </c>
      <c r="L221" s="2">
        <v>396.83</v>
      </c>
    </row>
    <row r="222" spans="1:12" ht="15" customHeight="1" x14ac:dyDescent="0.3">
      <c r="A222" s="2">
        <v>100221</v>
      </c>
      <c r="B222" s="2" t="s">
        <v>565</v>
      </c>
      <c r="C222" s="2" t="s">
        <v>163</v>
      </c>
      <c r="D222" s="2" t="s">
        <v>121</v>
      </c>
      <c r="E222" s="2" t="s">
        <v>85</v>
      </c>
      <c r="F222" s="2" t="s">
        <v>368</v>
      </c>
      <c r="G222" s="2" t="s">
        <v>35</v>
      </c>
      <c r="H222" s="2">
        <v>8</v>
      </c>
      <c r="I222" s="2">
        <v>3268.31</v>
      </c>
      <c r="J222" s="2">
        <v>1634.16</v>
      </c>
      <c r="K222" s="2">
        <v>0.15</v>
      </c>
      <c r="L222" s="2">
        <v>22224.53</v>
      </c>
    </row>
    <row r="223" spans="1:12" ht="15" customHeight="1" x14ac:dyDescent="0.3">
      <c r="A223" s="2">
        <v>100222</v>
      </c>
      <c r="B223" s="2" t="s">
        <v>566</v>
      </c>
      <c r="C223" s="2" t="s">
        <v>567</v>
      </c>
      <c r="D223" s="2" t="s">
        <v>26</v>
      </c>
      <c r="E223" s="2" t="s">
        <v>85</v>
      </c>
      <c r="F223" s="2" t="s">
        <v>368</v>
      </c>
      <c r="G223" s="2" t="s">
        <v>254</v>
      </c>
      <c r="H223" s="2">
        <v>1</v>
      </c>
      <c r="I223" s="2">
        <v>910.32</v>
      </c>
      <c r="J223" s="2">
        <v>546.19000000000005</v>
      </c>
      <c r="K223" s="2">
        <v>0.15</v>
      </c>
      <c r="L223" s="2">
        <v>773.77</v>
      </c>
    </row>
    <row r="224" spans="1:12" ht="15" customHeight="1" x14ac:dyDescent="0.3">
      <c r="A224" s="2">
        <v>100223</v>
      </c>
      <c r="B224" s="2" t="s">
        <v>568</v>
      </c>
      <c r="C224" s="2" t="s">
        <v>569</v>
      </c>
      <c r="D224" s="2" t="s">
        <v>92</v>
      </c>
      <c r="E224" s="2" t="s">
        <v>93</v>
      </c>
      <c r="F224" s="2" t="s">
        <v>371</v>
      </c>
      <c r="G224" s="2" t="s">
        <v>570</v>
      </c>
      <c r="H224" s="2">
        <v>11</v>
      </c>
      <c r="I224" s="2">
        <v>9107.48</v>
      </c>
      <c r="J224" s="2">
        <v>5464.49</v>
      </c>
      <c r="K224" s="2">
        <v>0.1</v>
      </c>
      <c r="L224" s="2">
        <v>90164.06</v>
      </c>
    </row>
    <row r="225" spans="1:12" ht="15" customHeight="1" x14ac:dyDescent="0.3">
      <c r="A225" s="2">
        <v>100224</v>
      </c>
      <c r="B225" s="2" t="s">
        <v>571</v>
      </c>
      <c r="C225" s="2" t="s">
        <v>572</v>
      </c>
      <c r="D225" s="2" t="s">
        <v>73</v>
      </c>
      <c r="E225" s="2" t="s">
        <v>80</v>
      </c>
      <c r="F225" s="2" t="s">
        <v>81</v>
      </c>
      <c r="G225" s="2" t="s">
        <v>82</v>
      </c>
      <c r="H225" s="2">
        <v>8</v>
      </c>
      <c r="I225" s="2">
        <v>2821.68</v>
      </c>
      <c r="J225" s="2">
        <v>1410.84</v>
      </c>
      <c r="K225" s="2">
        <v>0.1</v>
      </c>
      <c r="L225" s="2">
        <v>20316.13</v>
      </c>
    </row>
    <row r="226" spans="1:12" ht="15" customHeight="1" x14ac:dyDescent="0.3">
      <c r="A226" s="2">
        <v>100225</v>
      </c>
      <c r="B226" s="2" t="s">
        <v>573</v>
      </c>
      <c r="C226" s="2" t="s">
        <v>574</v>
      </c>
      <c r="D226" s="2" t="s">
        <v>59</v>
      </c>
      <c r="E226" s="2" t="s">
        <v>21</v>
      </c>
      <c r="F226" s="2" t="s">
        <v>22</v>
      </c>
      <c r="G226" s="2" t="s">
        <v>166</v>
      </c>
      <c r="H226" s="2">
        <v>9</v>
      </c>
      <c r="I226" s="2">
        <v>20514.7</v>
      </c>
      <c r="J226" s="2">
        <v>11898.53</v>
      </c>
      <c r="K226" s="2">
        <v>0.15</v>
      </c>
      <c r="L226" s="2">
        <v>156937.48000000001</v>
      </c>
    </row>
    <row r="227" spans="1:12" ht="15" customHeight="1" x14ac:dyDescent="0.3">
      <c r="A227" s="2">
        <v>100226</v>
      </c>
      <c r="B227" s="2" t="s">
        <v>429</v>
      </c>
      <c r="C227" s="2" t="s">
        <v>575</v>
      </c>
      <c r="D227" s="2" t="s">
        <v>102</v>
      </c>
      <c r="E227" s="2" t="s">
        <v>54</v>
      </c>
      <c r="F227" s="2" t="s">
        <v>156</v>
      </c>
      <c r="G227" s="2" t="s">
        <v>56</v>
      </c>
      <c r="H227" s="2">
        <v>11</v>
      </c>
      <c r="I227" s="2">
        <v>440.47</v>
      </c>
      <c r="J227" s="2">
        <v>198.21</v>
      </c>
      <c r="K227" s="2">
        <v>0.05</v>
      </c>
      <c r="L227" s="2">
        <v>4602.93</v>
      </c>
    </row>
    <row r="228" spans="1:12" ht="15" customHeight="1" x14ac:dyDescent="0.3">
      <c r="A228" s="2">
        <v>100227</v>
      </c>
      <c r="B228" s="2" t="s">
        <v>576</v>
      </c>
      <c r="C228" s="2" t="s">
        <v>577</v>
      </c>
      <c r="D228" s="2" t="s">
        <v>92</v>
      </c>
      <c r="E228" s="2" t="s">
        <v>85</v>
      </c>
      <c r="F228" s="2" t="s">
        <v>578</v>
      </c>
      <c r="G228" s="2" t="s">
        <v>166</v>
      </c>
      <c r="H228" s="2">
        <v>4</v>
      </c>
      <c r="I228" s="2">
        <v>20461.990000000002</v>
      </c>
      <c r="J228" s="2">
        <v>11867.96</v>
      </c>
      <c r="K228" s="2">
        <v>0.2</v>
      </c>
      <c r="L228" s="2">
        <v>65478.38</v>
      </c>
    </row>
    <row r="229" spans="1:12" ht="15" customHeight="1" x14ac:dyDescent="0.3">
      <c r="A229" s="2">
        <v>100228</v>
      </c>
      <c r="B229" s="2" t="s">
        <v>406</v>
      </c>
      <c r="C229" s="2" t="s">
        <v>579</v>
      </c>
      <c r="D229" s="2" t="s">
        <v>73</v>
      </c>
      <c r="E229" s="2" t="s">
        <v>148</v>
      </c>
      <c r="F229" s="2" t="s">
        <v>153</v>
      </c>
      <c r="G229" s="2" t="s">
        <v>138</v>
      </c>
      <c r="H229" s="2">
        <v>1</v>
      </c>
      <c r="I229" s="2">
        <v>2241.6799999999998</v>
      </c>
      <c r="J229" s="2">
        <v>1120.8399999999999</v>
      </c>
      <c r="K229" s="2">
        <v>0</v>
      </c>
      <c r="L229" s="2">
        <v>2241.6799999999998</v>
      </c>
    </row>
    <row r="230" spans="1:12" ht="15" customHeight="1" x14ac:dyDescent="0.3">
      <c r="A230" s="2">
        <v>100229</v>
      </c>
      <c r="B230" s="2" t="s">
        <v>580</v>
      </c>
      <c r="C230" s="2" t="s">
        <v>581</v>
      </c>
      <c r="D230" s="2" t="s">
        <v>121</v>
      </c>
      <c r="E230" s="2" t="s">
        <v>85</v>
      </c>
      <c r="F230" s="2" t="s">
        <v>368</v>
      </c>
      <c r="G230" s="2" t="s">
        <v>35</v>
      </c>
      <c r="H230" s="2">
        <v>10</v>
      </c>
      <c r="I230" s="2">
        <v>3189.28</v>
      </c>
      <c r="J230" s="2">
        <v>1594.64</v>
      </c>
      <c r="K230" s="2">
        <v>0.05</v>
      </c>
      <c r="L230" s="2">
        <v>30298.19</v>
      </c>
    </row>
    <row r="231" spans="1:12" ht="15" customHeight="1" x14ac:dyDescent="0.3">
      <c r="A231" s="2">
        <v>100230</v>
      </c>
      <c r="B231" s="2" t="s">
        <v>582</v>
      </c>
      <c r="C231" s="2" t="s">
        <v>583</v>
      </c>
      <c r="D231" s="2" t="s">
        <v>337</v>
      </c>
      <c r="E231" s="2" t="s">
        <v>65</v>
      </c>
      <c r="F231" s="2" t="s">
        <v>451</v>
      </c>
      <c r="G231" s="2" t="s">
        <v>29</v>
      </c>
      <c r="H231" s="2">
        <v>12</v>
      </c>
      <c r="I231" s="2">
        <v>4799.71</v>
      </c>
      <c r="J231" s="2">
        <v>3023.82</v>
      </c>
      <c r="K231" s="2">
        <v>0.05</v>
      </c>
      <c r="L231" s="2">
        <v>54716.69</v>
      </c>
    </row>
    <row r="232" spans="1:12" ht="15" customHeight="1" x14ac:dyDescent="0.3">
      <c r="A232" s="2">
        <v>100231</v>
      </c>
      <c r="B232" s="2" t="s">
        <v>529</v>
      </c>
      <c r="C232" s="2" t="s">
        <v>584</v>
      </c>
      <c r="D232" s="2" t="s">
        <v>53</v>
      </c>
      <c r="E232" s="2" t="s">
        <v>188</v>
      </c>
      <c r="F232" s="2" t="s">
        <v>174</v>
      </c>
      <c r="G232" s="2" t="s">
        <v>175</v>
      </c>
      <c r="H232" s="2">
        <v>9</v>
      </c>
      <c r="I232" s="2">
        <v>253.11</v>
      </c>
      <c r="J232" s="2">
        <v>126.56</v>
      </c>
      <c r="K232" s="2">
        <v>0.1</v>
      </c>
      <c r="L232" s="2">
        <v>2050.21</v>
      </c>
    </row>
    <row r="233" spans="1:12" ht="15" customHeight="1" x14ac:dyDescent="0.3">
      <c r="A233" s="2">
        <v>100232</v>
      </c>
      <c r="B233" s="2" t="s">
        <v>249</v>
      </c>
      <c r="C233" s="2" t="s">
        <v>585</v>
      </c>
      <c r="D233" s="2" t="s">
        <v>59</v>
      </c>
      <c r="E233" s="2" t="s">
        <v>65</v>
      </c>
      <c r="F233" s="2" t="s">
        <v>214</v>
      </c>
      <c r="G233" s="2" t="s">
        <v>116</v>
      </c>
      <c r="H233" s="2">
        <v>5</v>
      </c>
      <c r="I233" s="2">
        <v>3532.06</v>
      </c>
      <c r="J233" s="2">
        <v>2119.2399999999998</v>
      </c>
      <c r="K233" s="2"/>
      <c r="L233" s="2">
        <v>17660.29</v>
      </c>
    </row>
    <row r="234" spans="1:12" ht="15" customHeight="1" x14ac:dyDescent="0.3">
      <c r="A234" s="2">
        <v>100233</v>
      </c>
      <c r="B234" s="2" t="s">
        <v>586</v>
      </c>
      <c r="C234" s="2" t="s">
        <v>587</v>
      </c>
      <c r="D234" s="2" t="s">
        <v>26</v>
      </c>
      <c r="E234" s="2" t="s">
        <v>93</v>
      </c>
      <c r="F234" s="2" t="s">
        <v>171</v>
      </c>
      <c r="G234" s="2" t="s">
        <v>116</v>
      </c>
      <c r="H234" s="2">
        <v>7</v>
      </c>
      <c r="I234" s="2">
        <v>3401.3</v>
      </c>
      <c r="J234" s="2">
        <v>2040.78</v>
      </c>
      <c r="K234" s="2">
        <v>0.2</v>
      </c>
      <c r="L234" s="2">
        <v>19047.28</v>
      </c>
    </row>
    <row r="235" spans="1:12" ht="15" customHeight="1" x14ac:dyDescent="0.3">
      <c r="A235" s="2">
        <v>100234</v>
      </c>
      <c r="B235" s="2" t="s">
        <v>588</v>
      </c>
      <c r="C235" s="2" t="s">
        <v>589</v>
      </c>
      <c r="D235" s="2" t="s">
        <v>79</v>
      </c>
      <c r="E235" s="2" t="s">
        <v>93</v>
      </c>
      <c r="F235" s="2" t="s">
        <v>94</v>
      </c>
      <c r="G235" s="2" t="s">
        <v>95</v>
      </c>
      <c r="H235" s="2">
        <v>8</v>
      </c>
      <c r="I235" s="2">
        <v>9536.0400000000009</v>
      </c>
      <c r="J235" s="2">
        <v>5530.9</v>
      </c>
      <c r="K235" s="2">
        <v>0.15</v>
      </c>
      <c r="L235" s="2">
        <v>64845.08</v>
      </c>
    </row>
    <row r="236" spans="1:12" ht="15" customHeight="1" x14ac:dyDescent="0.3">
      <c r="A236" s="2">
        <v>100235</v>
      </c>
      <c r="B236" s="2" t="s">
        <v>385</v>
      </c>
      <c r="C236" s="2" t="s">
        <v>590</v>
      </c>
      <c r="D236" s="2" t="s">
        <v>98</v>
      </c>
      <c r="E236" s="2" t="s">
        <v>124</v>
      </c>
      <c r="F236" s="2" t="s">
        <v>182</v>
      </c>
      <c r="G236" s="2" t="s">
        <v>200</v>
      </c>
      <c r="H236" s="2">
        <v>1</v>
      </c>
      <c r="I236" s="2">
        <v>174.6</v>
      </c>
      <c r="J236" s="2">
        <v>83.81</v>
      </c>
      <c r="K236" s="2">
        <v>0.05</v>
      </c>
      <c r="L236" s="2">
        <v>165.87</v>
      </c>
    </row>
    <row r="237" spans="1:12" ht="15" customHeight="1" x14ac:dyDescent="0.3">
      <c r="A237" s="2">
        <v>100236</v>
      </c>
      <c r="B237" s="2" t="s">
        <v>541</v>
      </c>
      <c r="C237" s="2" t="s">
        <v>591</v>
      </c>
      <c r="D237" s="2" t="s">
        <v>121</v>
      </c>
      <c r="E237" s="2" t="s">
        <v>54</v>
      </c>
      <c r="F237" s="2" t="s">
        <v>141</v>
      </c>
      <c r="G237" s="2" t="s">
        <v>142</v>
      </c>
      <c r="H237" s="2">
        <v>6</v>
      </c>
      <c r="I237" s="2">
        <v>1468.13</v>
      </c>
      <c r="J237" s="2">
        <v>734.07</v>
      </c>
      <c r="K237" s="2">
        <v>0</v>
      </c>
      <c r="L237" s="2">
        <v>8808.7999999999993</v>
      </c>
    </row>
    <row r="238" spans="1:12" ht="15" customHeight="1" x14ac:dyDescent="0.3">
      <c r="A238" s="2">
        <v>100237</v>
      </c>
      <c r="B238" s="2" t="s">
        <v>505</v>
      </c>
      <c r="C238" s="2" t="s">
        <v>43</v>
      </c>
      <c r="D238" s="2" t="s">
        <v>209</v>
      </c>
      <c r="E238" s="2" t="s">
        <v>85</v>
      </c>
      <c r="F238" s="2" t="s">
        <v>129</v>
      </c>
      <c r="G238" s="2" t="s">
        <v>229</v>
      </c>
      <c r="H238" s="2">
        <v>4</v>
      </c>
      <c r="I238" s="2">
        <v>14946.18</v>
      </c>
      <c r="J238" s="2">
        <v>8967.7099999999991</v>
      </c>
      <c r="K238" s="2">
        <v>0.1</v>
      </c>
      <c r="L238" s="2">
        <v>53806.26</v>
      </c>
    </row>
    <row r="239" spans="1:12" ht="15" customHeight="1" x14ac:dyDescent="0.3">
      <c r="A239" s="2">
        <v>100238</v>
      </c>
      <c r="B239" s="2" t="s">
        <v>592</v>
      </c>
      <c r="C239" s="2" t="s">
        <v>593</v>
      </c>
      <c r="D239" s="2" t="s">
        <v>108</v>
      </c>
      <c r="E239" s="2" t="s">
        <v>137</v>
      </c>
      <c r="F239" s="2" t="s">
        <v>437</v>
      </c>
      <c r="G239" s="2" t="s">
        <v>142</v>
      </c>
      <c r="H239" s="2">
        <v>5</v>
      </c>
      <c r="I239" s="2">
        <v>1600.16</v>
      </c>
      <c r="J239" s="2">
        <v>800.08</v>
      </c>
      <c r="K239" s="2">
        <v>0</v>
      </c>
      <c r="L239" s="2">
        <v>8000.82</v>
      </c>
    </row>
    <row r="240" spans="1:12" ht="15" customHeight="1" x14ac:dyDescent="0.3">
      <c r="A240" s="2">
        <v>100239</v>
      </c>
      <c r="B240" s="2" t="s">
        <v>594</v>
      </c>
      <c r="C240" s="2" t="s">
        <v>595</v>
      </c>
      <c r="D240" s="2" t="s">
        <v>44</v>
      </c>
      <c r="E240" s="2" t="s">
        <v>137</v>
      </c>
      <c r="F240" s="2" t="s">
        <v>596</v>
      </c>
      <c r="G240" s="2" t="s">
        <v>56</v>
      </c>
      <c r="H240" s="2">
        <v>9</v>
      </c>
      <c r="I240" s="2">
        <v>475.98</v>
      </c>
      <c r="J240" s="2">
        <v>214.19</v>
      </c>
      <c r="K240" s="2"/>
      <c r="L240" s="2">
        <v>3641.26</v>
      </c>
    </row>
    <row r="241" spans="1:12" ht="15" customHeight="1" x14ac:dyDescent="0.3">
      <c r="A241" s="2">
        <v>100240</v>
      </c>
      <c r="B241" s="2" t="s">
        <v>597</v>
      </c>
      <c r="C241" s="2" t="s">
        <v>598</v>
      </c>
      <c r="D241" s="2" t="s">
        <v>59</v>
      </c>
      <c r="E241" s="2" t="s">
        <v>103</v>
      </c>
      <c r="F241" s="2" t="s">
        <v>214</v>
      </c>
      <c r="G241" s="2" t="s">
        <v>105</v>
      </c>
      <c r="H241" s="2">
        <v>7</v>
      </c>
      <c r="I241" s="2">
        <v>2925.07</v>
      </c>
      <c r="J241" s="2">
        <v>1813.55</v>
      </c>
      <c r="K241" s="2">
        <v>0.1</v>
      </c>
      <c r="L241" s="2">
        <v>18427.97</v>
      </c>
    </row>
    <row r="242" spans="1:12" ht="15" customHeight="1" x14ac:dyDescent="0.3">
      <c r="A242" s="2">
        <v>100241</v>
      </c>
      <c r="B242" s="2" t="s">
        <v>364</v>
      </c>
      <c r="C242" s="2" t="s">
        <v>599</v>
      </c>
      <c r="D242" s="2" t="s">
        <v>38</v>
      </c>
      <c r="E242" s="2" t="s">
        <v>124</v>
      </c>
      <c r="F242" s="2" t="s">
        <v>205</v>
      </c>
      <c r="G242" s="2" t="s">
        <v>175</v>
      </c>
      <c r="H242" s="2">
        <v>11</v>
      </c>
      <c r="I242" s="2">
        <v>247.29</v>
      </c>
      <c r="J242" s="2">
        <v>123.65</v>
      </c>
      <c r="K242" s="2">
        <v>0</v>
      </c>
      <c r="L242" s="2"/>
    </row>
    <row r="243" spans="1:12" ht="15" customHeight="1" x14ac:dyDescent="0.3">
      <c r="A243" s="2">
        <v>100242</v>
      </c>
      <c r="B243" s="2" t="s">
        <v>600</v>
      </c>
      <c r="C243" s="2" t="s">
        <v>601</v>
      </c>
      <c r="D243" s="2" t="s">
        <v>79</v>
      </c>
      <c r="E243" s="2" t="s">
        <v>65</v>
      </c>
      <c r="F243" s="2" t="s">
        <v>214</v>
      </c>
      <c r="G243" s="2" t="s">
        <v>105</v>
      </c>
      <c r="H243" s="2">
        <v>1</v>
      </c>
      <c r="I243" s="2">
        <v>2963.68</v>
      </c>
      <c r="J243" s="2">
        <v>1837.48</v>
      </c>
      <c r="K243" s="2">
        <v>0.1</v>
      </c>
      <c r="L243" s="2">
        <v>2667.31</v>
      </c>
    </row>
    <row r="244" spans="1:12" ht="15" customHeight="1" x14ac:dyDescent="0.3">
      <c r="A244" s="2">
        <v>100243</v>
      </c>
      <c r="B244" s="2" t="s">
        <v>602</v>
      </c>
      <c r="C244" s="2" t="s">
        <v>603</v>
      </c>
      <c r="D244" s="2" t="s">
        <v>64</v>
      </c>
      <c r="E244" s="2" t="s">
        <v>103</v>
      </c>
      <c r="F244" s="2" t="s">
        <v>284</v>
      </c>
      <c r="G244" s="2" t="s">
        <v>70</v>
      </c>
      <c r="H244" s="2">
        <v>3</v>
      </c>
      <c r="I244" s="2">
        <v>5453.95</v>
      </c>
      <c r="J244" s="2">
        <v>3272.37</v>
      </c>
      <c r="K244" s="2">
        <v>0.1</v>
      </c>
      <c r="L244" s="2">
        <v>14725.66</v>
      </c>
    </row>
    <row r="245" spans="1:12" ht="15" customHeight="1" x14ac:dyDescent="0.3">
      <c r="A245" s="2">
        <v>100244</v>
      </c>
      <c r="B245" s="2" t="s">
        <v>604</v>
      </c>
      <c r="C245" s="2" t="s">
        <v>605</v>
      </c>
      <c r="D245" s="2" t="s">
        <v>79</v>
      </c>
      <c r="E245" s="2" t="s">
        <v>21</v>
      </c>
      <c r="F245" s="2" t="s">
        <v>165</v>
      </c>
      <c r="G245" s="2" t="s">
        <v>23</v>
      </c>
      <c r="H245" s="2">
        <v>4</v>
      </c>
      <c r="I245" s="2">
        <v>9921.1</v>
      </c>
      <c r="J245" s="2">
        <v>6151.08</v>
      </c>
      <c r="K245" s="2">
        <v>0.1</v>
      </c>
      <c r="L245" s="2">
        <v>35715.97</v>
      </c>
    </row>
    <row r="246" spans="1:12" ht="15" customHeight="1" x14ac:dyDescent="0.3">
      <c r="A246" s="2">
        <v>100245</v>
      </c>
      <c r="B246" s="2" t="s">
        <v>305</v>
      </c>
      <c r="C246" s="2" t="s">
        <v>606</v>
      </c>
      <c r="D246" s="2" t="s">
        <v>79</v>
      </c>
      <c r="E246" s="2" t="s">
        <v>103</v>
      </c>
      <c r="F246" s="2" t="s">
        <v>539</v>
      </c>
      <c r="G246" s="2" t="s">
        <v>105</v>
      </c>
      <c r="H246" s="2">
        <v>7</v>
      </c>
      <c r="I246" s="2">
        <v>2818.58</v>
      </c>
      <c r="J246" s="2">
        <v>1747.52</v>
      </c>
      <c r="K246" s="2">
        <v>0.05</v>
      </c>
      <c r="L246" s="2">
        <v>18743.54</v>
      </c>
    </row>
    <row r="247" spans="1:12" ht="15" customHeight="1" x14ac:dyDescent="0.3">
      <c r="A247" s="2">
        <v>100246</v>
      </c>
      <c r="B247" s="2" t="s">
        <v>607</v>
      </c>
      <c r="C247" s="2" t="s">
        <v>608</v>
      </c>
      <c r="D247" s="2" t="s">
        <v>64</v>
      </c>
      <c r="E247" s="2" t="s">
        <v>54</v>
      </c>
      <c r="F247" s="2" t="s">
        <v>156</v>
      </c>
      <c r="G247" s="2" t="s">
        <v>56</v>
      </c>
      <c r="H247" s="2">
        <v>11</v>
      </c>
      <c r="I247" s="2">
        <v>462.99</v>
      </c>
      <c r="J247" s="2">
        <v>208.34</v>
      </c>
      <c r="K247" s="2">
        <v>0.2</v>
      </c>
      <c r="L247" s="2">
        <v>4074.29</v>
      </c>
    </row>
    <row r="248" spans="1:12" ht="15" customHeight="1" x14ac:dyDescent="0.3">
      <c r="A248" s="2">
        <v>100247</v>
      </c>
      <c r="B248" s="2" t="s">
        <v>318</v>
      </c>
      <c r="C248" s="2" t="s">
        <v>609</v>
      </c>
      <c r="D248" s="2" t="s">
        <v>209</v>
      </c>
      <c r="E248" s="2" t="s">
        <v>148</v>
      </c>
      <c r="F248" s="2" t="s">
        <v>81</v>
      </c>
      <c r="G248" s="2" t="s">
        <v>82</v>
      </c>
      <c r="H248" s="2">
        <v>9</v>
      </c>
      <c r="I248" s="2">
        <v>2754.86</v>
      </c>
      <c r="J248" s="2">
        <v>1377.43</v>
      </c>
      <c r="K248" s="2">
        <v>0.1</v>
      </c>
      <c r="L248" s="2">
        <v>22314.400000000001</v>
      </c>
    </row>
    <row r="249" spans="1:12" ht="15" customHeight="1" x14ac:dyDescent="0.3">
      <c r="A249" s="2">
        <v>100248</v>
      </c>
      <c r="B249" s="2" t="s">
        <v>247</v>
      </c>
      <c r="C249" s="2" t="s">
        <v>610</v>
      </c>
      <c r="D249" s="2" t="s">
        <v>73</v>
      </c>
      <c r="E249" s="2" t="s">
        <v>124</v>
      </c>
      <c r="F249" s="2" t="s">
        <v>205</v>
      </c>
      <c r="G249" s="2" t="s">
        <v>206</v>
      </c>
      <c r="H249" s="2">
        <v>10</v>
      </c>
      <c r="I249" s="2">
        <v>290.89999999999998</v>
      </c>
      <c r="J249" s="2">
        <v>145.44999999999999</v>
      </c>
      <c r="K249" s="2">
        <v>0.2</v>
      </c>
      <c r="L249" s="2">
        <v>2327.23</v>
      </c>
    </row>
    <row r="250" spans="1:12" ht="15" customHeight="1" x14ac:dyDescent="0.3">
      <c r="A250" s="2">
        <v>100249</v>
      </c>
      <c r="B250" s="2" t="s">
        <v>369</v>
      </c>
      <c r="C250" s="2" t="s">
        <v>611</v>
      </c>
      <c r="D250" s="2" t="s">
        <v>38</v>
      </c>
      <c r="E250" s="2" t="s">
        <v>39</v>
      </c>
      <c r="F250" s="2" t="s">
        <v>378</v>
      </c>
      <c r="G250" s="2" t="s">
        <v>70</v>
      </c>
      <c r="H250" s="2">
        <v>2</v>
      </c>
      <c r="I250" s="2">
        <v>5512.45</v>
      </c>
      <c r="J250" s="2">
        <v>3307.47</v>
      </c>
      <c r="K250" s="2">
        <v>0</v>
      </c>
      <c r="L250" s="2">
        <v>11024.9</v>
      </c>
    </row>
    <row r="251" spans="1:12" ht="15" customHeight="1" x14ac:dyDescent="0.3">
      <c r="A251" s="2">
        <v>100250</v>
      </c>
      <c r="B251" s="2" t="s">
        <v>612</v>
      </c>
      <c r="C251" s="2" t="s">
        <v>613</v>
      </c>
      <c r="D251" s="2" t="s">
        <v>79</v>
      </c>
      <c r="E251" s="2" t="s">
        <v>124</v>
      </c>
      <c r="F251" s="2" t="s">
        <v>401</v>
      </c>
      <c r="G251" s="2" t="s">
        <v>50</v>
      </c>
      <c r="H251" s="2">
        <v>11</v>
      </c>
      <c r="I251" s="2">
        <v>119.9</v>
      </c>
      <c r="J251" s="2">
        <v>53.96</v>
      </c>
      <c r="K251" s="2">
        <v>0.1</v>
      </c>
      <c r="L251" s="2">
        <v>1187.06</v>
      </c>
    </row>
    <row r="252" spans="1:12" ht="15" customHeight="1" x14ac:dyDescent="0.3">
      <c r="A252" s="2">
        <v>100251</v>
      </c>
      <c r="B252" s="2" t="s">
        <v>614</v>
      </c>
      <c r="C252" s="2" t="s">
        <v>615</v>
      </c>
      <c r="D252" s="2" t="s">
        <v>155</v>
      </c>
      <c r="E252" s="2" t="s">
        <v>74</v>
      </c>
      <c r="F252" s="2" t="s">
        <v>132</v>
      </c>
      <c r="G252" s="2" t="s">
        <v>110</v>
      </c>
      <c r="H252" s="2">
        <v>3</v>
      </c>
      <c r="I252" s="2">
        <v>1175.8800000000001</v>
      </c>
      <c r="J252" s="2">
        <v>705.53</v>
      </c>
      <c r="K252" s="2">
        <v>0.1</v>
      </c>
      <c r="L252" s="2">
        <v>3174.87</v>
      </c>
    </row>
    <row r="253" spans="1:12" ht="15" customHeight="1" x14ac:dyDescent="0.3">
      <c r="A253" s="2">
        <v>100252</v>
      </c>
      <c r="B253" s="2" t="s">
        <v>616</v>
      </c>
      <c r="C253" s="2" t="s">
        <v>617</v>
      </c>
      <c r="D253" s="2" t="s">
        <v>38</v>
      </c>
      <c r="E253" s="2" t="s">
        <v>148</v>
      </c>
      <c r="F253" s="2" t="s">
        <v>211</v>
      </c>
      <c r="G253" s="2" t="s">
        <v>221</v>
      </c>
      <c r="H253" s="2">
        <v>4</v>
      </c>
      <c r="I253" s="2">
        <v>1848.25</v>
      </c>
      <c r="J253" s="2">
        <v>924.12</v>
      </c>
      <c r="K253" s="2">
        <v>0.15</v>
      </c>
      <c r="L253" s="2">
        <v>6284.03</v>
      </c>
    </row>
    <row r="254" spans="1:12" ht="15" customHeight="1" x14ac:dyDescent="0.3">
      <c r="A254" s="2">
        <v>100253</v>
      </c>
      <c r="B254" s="2" t="s">
        <v>458</v>
      </c>
      <c r="C254" s="2" t="s">
        <v>618</v>
      </c>
      <c r="D254" s="2" t="s">
        <v>32</v>
      </c>
      <c r="E254" s="2" t="s">
        <v>27</v>
      </c>
      <c r="F254" s="2" t="s">
        <v>378</v>
      </c>
      <c r="G254" s="2" t="s">
        <v>70</v>
      </c>
      <c r="H254" s="2">
        <v>12</v>
      </c>
      <c r="I254" s="2">
        <v>5849.97</v>
      </c>
      <c r="J254" s="2">
        <v>3509.98</v>
      </c>
      <c r="K254" s="2">
        <v>0.2</v>
      </c>
      <c r="L254" s="2">
        <v>56159.67</v>
      </c>
    </row>
    <row r="255" spans="1:12" ht="15" customHeight="1" x14ac:dyDescent="0.3">
      <c r="A255" s="2">
        <v>100254</v>
      </c>
      <c r="B255" s="2" t="s">
        <v>233</v>
      </c>
      <c r="C255" s="2" t="s">
        <v>619</v>
      </c>
      <c r="D255" s="2" t="s">
        <v>337</v>
      </c>
      <c r="E255" s="2" t="s">
        <v>124</v>
      </c>
      <c r="F255" s="2" t="s">
        <v>620</v>
      </c>
      <c r="G255" s="2" t="s">
        <v>50</v>
      </c>
      <c r="H255" s="2">
        <v>8</v>
      </c>
      <c r="I255" s="2">
        <v>123.31</v>
      </c>
      <c r="J255" s="2">
        <v>55.49</v>
      </c>
      <c r="K255" s="2"/>
      <c r="L255" s="2">
        <v>986.45</v>
      </c>
    </row>
    <row r="256" spans="1:12" ht="15" customHeight="1" x14ac:dyDescent="0.3">
      <c r="A256" s="2">
        <v>100255</v>
      </c>
      <c r="B256" s="2" t="s">
        <v>621</v>
      </c>
      <c r="C256" s="2" t="s">
        <v>622</v>
      </c>
      <c r="D256" s="2" t="s">
        <v>53</v>
      </c>
      <c r="E256" s="2" t="s">
        <v>137</v>
      </c>
      <c r="F256" s="2" t="s">
        <v>156</v>
      </c>
      <c r="G256" s="2" t="s">
        <v>56</v>
      </c>
      <c r="H256" s="2">
        <v>2</v>
      </c>
      <c r="I256" s="2">
        <v>455.71</v>
      </c>
      <c r="J256" s="2">
        <v>205.07</v>
      </c>
      <c r="K256" s="2">
        <v>0</v>
      </c>
      <c r="L256" s="2">
        <v>911.42</v>
      </c>
    </row>
    <row r="257" spans="1:12" ht="15" customHeight="1" x14ac:dyDescent="0.3">
      <c r="A257" s="2">
        <v>100256</v>
      </c>
      <c r="B257" s="2" t="s">
        <v>402</v>
      </c>
      <c r="C257" s="2" t="s">
        <v>623</v>
      </c>
      <c r="D257" s="2" t="s">
        <v>92</v>
      </c>
      <c r="E257" s="2" t="s">
        <v>124</v>
      </c>
      <c r="F257" s="2" t="s">
        <v>556</v>
      </c>
      <c r="G257" s="2" t="s">
        <v>175</v>
      </c>
      <c r="H257" s="2">
        <v>3</v>
      </c>
      <c r="I257" s="2">
        <v>245.77</v>
      </c>
      <c r="J257" s="2">
        <v>122.89</v>
      </c>
      <c r="K257" s="2">
        <v>0.2</v>
      </c>
      <c r="L257" s="2">
        <v>589.85</v>
      </c>
    </row>
    <row r="258" spans="1:12" ht="15" customHeight="1" x14ac:dyDescent="0.3">
      <c r="A258" s="2">
        <v>100257</v>
      </c>
      <c r="B258" s="2" t="s">
        <v>624</v>
      </c>
      <c r="C258" s="2" t="s">
        <v>459</v>
      </c>
      <c r="D258" s="2" t="s">
        <v>209</v>
      </c>
      <c r="E258" s="2" t="s">
        <v>74</v>
      </c>
      <c r="F258" s="2" t="s">
        <v>435</v>
      </c>
      <c r="G258" s="2" t="s">
        <v>35</v>
      </c>
      <c r="H258" s="2">
        <v>4</v>
      </c>
      <c r="I258" s="2">
        <v>3222.17</v>
      </c>
      <c r="J258" s="2">
        <v>1611.08</v>
      </c>
      <c r="K258" s="2">
        <v>0.05</v>
      </c>
      <c r="L258" s="2">
        <v>12244.25</v>
      </c>
    </row>
    <row r="259" spans="1:12" ht="15" customHeight="1" x14ac:dyDescent="0.3">
      <c r="A259" s="2">
        <v>100258</v>
      </c>
      <c r="B259" s="2" t="s">
        <v>625</v>
      </c>
      <c r="C259" s="2" t="s">
        <v>626</v>
      </c>
      <c r="D259" s="2" t="s">
        <v>92</v>
      </c>
      <c r="E259" s="2" t="s">
        <v>93</v>
      </c>
      <c r="F259" s="2" t="s">
        <v>378</v>
      </c>
      <c r="G259" s="2" t="s">
        <v>29</v>
      </c>
      <c r="H259" s="2">
        <v>3</v>
      </c>
      <c r="I259" s="2">
        <v>4691.2</v>
      </c>
      <c r="J259" s="2">
        <v>2955.46</v>
      </c>
      <c r="K259" s="2">
        <v>0.1</v>
      </c>
      <c r="L259" s="2">
        <v>12666.24</v>
      </c>
    </row>
    <row r="260" spans="1:12" ht="15" customHeight="1" x14ac:dyDescent="0.3">
      <c r="A260" s="2">
        <v>100259</v>
      </c>
      <c r="B260" s="2" t="s">
        <v>627</v>
      </c>
      <c r="C260" s="2" t="s">
        <v>628</v>
      </c>
      <c r="D260" s="2" t="s">
        <v>44</v>
      </c>
      <c r="E260" s="2" t="s">
        <v>85</v>
      </c>
      <c r="F260" s="2" t="s">
        <v>132</v>
      </c>
      <c r="G260" s="2" t="s">
        <v>193</v>
      </c>
      <c r="H260" s="2">
        <v>7</v>
      </c>
      <c r="I260" s="2">
        <v>3367.01</v>
      </c>
      <c r="J260" s="2">
        <v>1683.5</v>
      </c>
      <c r="K260" s="2">
        <v>0.2</v>
      </c>
      <c r="L260" s="2"/>
    </row>
    <row r="261" spans="1:12" ht="15" customHeight="1" x14ac:dyDescent="0.3">
      <c r="A261" s="2">
        <v>100260</v>
      </c>
      <c r="B261" s="2" t="s">
        <v>629</v>
      </c>
      <c r="C261" s="2" t="s">
        <v>630</v>
      </c>
      <c r="D261" s="2" t="s">
        <v>59</v>
      </c>
      <c r="E261" s="2" t="s">
        <v>188</v>
      </c>
      <c r="F261" s="2" t="s">
        <v>401</v>
      </c>
      <c r="G261" s="2" t="s">
        <v>50</v>
      </c>
      <c r="H261" s="2">
        <v>2</v>
      </c>
      <c r="I261" s="2">
        <v>123.5</v>
      </c>
      <c r="J261" s="2">
        <v>55.58</v>
      </c>
      <c r="K261" s="2">
        <v>0.15</v>
      </c>
      <c r="L261" s="2">
        <v>209.95</v>
      </c>
    </row>
    <row r="262" spans="1:12" ht="15" customHeight="1" x14ac:dyDescent="0.3">
      <c r="A262" s="2">
        <v>100261</v>
      </c>
      <c r="B262" s="2" t="s">
        <v>631</v>
      </c>
      <c r="C262" s="2" t="s">
        <v>632</v>
      </c>
      <c r="D262" s="2" t="s">
        <v>59</v>
      </c>
      <c r="E262" s="2" t="s">
        <v>93</v>
      </c>
      <c r="F262" s="2" t="s">
        <v>539</v>
      </c>
      <c r="G262" s="2" t="s">
        <v>116</v>
      </c>
      <c r="H262" s="2">
        <v>1</v>
      </c>
      <c r="I262" s="2">
        <v>3576.51</v>
      </c>
      <c r="J262" s="2">
        <v>2145.91</v>
      </c>
      <c r="K262" s="2">
        <v>0.1</v>
      </c>
      <c r="L262" s="2">
        <v>3218.86</v>
      </c>
    </row>
    <row r="263" spans="1:12" ht="15" customHeight="1" x14ac:dyDescent="0.3">
      <c r="A263" s="2">
        <v>100262</v>
      </c>
      <c r="B263" s="2" t="s">
        <v>633</v>
      </c>
      <c r="C263" s="2" t="s">
        <v>634</v>
      </c>
      <c r="D263" s="2" t="s">
        <v>160</v>
      </c>
      <c r="E263" s="2" t="s">
        <v>181</v>
      </c>
      <c r="F263" s="2" t="s">
        <v>298</v>
      </c>
      <c r="G263" s="2" t="s">
        <v>183</v>
      </c>
      <c r="H263" s="2">
        <v>10</v>
      </c>
      <c r="I263" s="2">
        <v>204.97</v>
      </c>
      <c r="J263" s="2">
        <v>98.38</v>
      </c>
      <c r="K263" s="2">
        <v>0</v>
      </c>
      <c r="L263" s="2">
        <v>2049.6799999999998</v>
      </c>
    </row>
    <row r="264" spans="1:12" ht="15" customHeight="1" x14ac:dyDescent="0.3">
      <c r="A264" s="2">
        <v>100263</v>
      </c>
      <c r="B264" s="2" t="s">
        <v>257</v>
      </c>
      <c r="C264" s="2" t="s">
        <v>635</v>
      </c>
      <c r="D264" s="2" t="s">
        <v>53</v>
      </c>
      <c r="E264" s="2" t="s">
        <v>27</v>
      </c>
      <c r="F264" s="2" t="s">
        <v>284</v>
      </c>
      <c r="G264" s="2" t="s">
        <v>29</v>
      </c>
      <c r="H264" s="2">
        <v>10</v>
      </c>
      <c r="I264" s="2">
        <v>4467.84</v>
      </c>
      <c r="J264" s="2">
        <v>2814.74</v>
      </c>
      <c r="K264" s="2">
        <v>0</v>
      </c>
      <c r="L264" s="2">
        <v>44678.42</v>
      </c>
    </row>
    <row r="265" spans="1:12" ht="15" customHeight="1" x14ac:dyDescent="0.3">
      <c r="A265" s="2">
        <v>100264</v>
      </c>
      <c r="B265" s="2" t="s">
        <v>274</v>
      </c>
      <c r="C265" s="2" t="s">
        <v>636</v>
      </c>
      <c r="D265" s="2" t="s">
        <v>79</v>
      </c>
      <c r="E265" s="2" t="s">
        <v>54</v>
      </c>
      <c r="F265" s="2" t="s">
        <v>211</v>
      </c>
      <c r="G265" s="2" t="s">
        <v>221</v>
      </c>
      <c r="H265" s="2">
        <v>4</v>
      </c>
      <c r="I265" s="2">
        <v>1887.25</v>
      </c>
      <c r="J265" s="2">
        <v>943.62</v>
      </c>
      <c r="K265" s="2">
        <v>0.2</v>
      </c>
      <c r="L265" s="2">
        <v>6039.2</v>
      </c>
    </row>
    <row r="266" spans="1:12" ht="15" customHeight="1" x14ac:dyDescent="0.3">
      <c r="A266" s="2">
        <v>100265</v>
      </c>
      <c r="B266" s="2" t="s">
        <v>637</v>
      </c>
      <c r="C266" s="2" t="s">
        <v>638</v>
      </c>
      <c r="D266" s="2" t="s">
        <v>121</v>
      </c>
      <c r="E266" s="2" t="s">
        <v>48</v>
      </c>
      <c r="F266" s="2" t="s">
        <v>199</v>
      </c>
      <c r="G266" s="2" t="s">
        <v>183</v>
      </c>
      <c r="H266" s="2">
        <v>9</v>
      </c>
      <c r="I266" s="2">
        <v>214.12</v>
      </c>
      <c r="J266" s="2">
        <v>102.78</v>
      </c>
      <c r="K266" s="2">
        <v>0.15</v>
      </c>
      <c r="L266" s="2">
        <v>1638.04</v>
      </c>
    </row>
    <row r="267" spans="1:12" ht="15" customHeight="1" x14ac:dyDescent="0.3">
      <c r="A267" s="2">
        <v>100266</v>
      </c>
      <c r="B267" s="2" t="s">
        <v>639</v>
      </c>
      <c r="C267" s="2" t="s">
        <v>640</v>
      </c>
      <c r="D267" s="2" t="s">
        <v>32</v>
      </c>
      <c r="E267" s="2" t="s">
        <v>93</v>
      </c>
      <c r="F267" s="2" t="s">
        <v>94</v>
      </c>
      <c r="G267" s="2" t="s">
        <v>95</v>
      </c>
      <c r="H267" s="2">
        <v>12</v>
      </c>
      <c r="I267" s="2">
        <v>9564.3799999999992</v>
      </c>
      <c r="J267" s="2">
        <v>5547.34</v>
      </c>
      <c r="K267" s="2">
        <v>0.15</v>
      </c>
      <c r="L267" s="2">
        <v>97556.63</v>
      </c>
    </row>
    <row r="268" spans="1:12" ht="15" customHeight="1" x14ac:dyDescent="0.3">
      <c r="A268" s="2">
        <v>100267</v>
      </c>
      <c r="B268" s="2" t="s">
        <v>641</v>
      </c>
      <c r="C268" s="2" t="s">
        <v>642</v>
      </c>
      <c r="D268" s="2" t="s">
        <v>73</v>
      </c>
      <c r="E268" s="2" t="s">
        <v>21</v>
      </c>
      <c r="F268" s="2" t="s">
        <v>226</v>
      </c>
      <c r="G268" s="2" t="s">
        <v>87</v>
      </c>
      <c r="H268" s="2">
        <v>6</v>
      </c>
      <c r="I268" s="2">
        <v>63902.58</v>
      </c>
      <c r="J268" s="2">
        <v>38341.550000000003</v>
      </c>
      <c r="K268" s="2">
        <v>0.1</v>
      </c>
      <c r="L268" s="2">
        <v>345073.93</v>
      </c>
    </row>
    <row r="269" spans="1:12" ht="15" customHeight="1" x14ac:dyDescent="0.3">
      <c r="A269" s="2">
        <v>100268</v>
      </c>
      <c r="B269" s="2" t="s">
        <v>643</v>
      </c>
      <c r="C269" s="2" t="s">
        <v>644</v>
      </c>
      <c r="D269" s="2" t="s">
        <v>73</v>
      </c>
      <c r="E269" s="2" t="s">
        <v>148</v>
      </c>
      <c r="F269" s="2" t="s">
        <v>596</v>
      </c>
      <c r="G269" s="2" t="s">
        <v>157</v>
      </c>
      <c r="H269" s="2">
        <v>7</v>
      </c>
      <c r="I269" s="2">
        <v>690.2</v>
      </c>
      <c r="J269" s="2">
        <v>310.58999999999997</v>
      </c>
      <c r="K269" s="2">
        <v>0.2</v>
      </c>
      <c r="L269" s="2">
        <v>3865.14</v>
      </c>
    </row>
    <row r="270" spans="1:12" ht="15" customHeight="1" x14ac:dyDescent="0.3">
      <c r="A270" s="2">
        <v>100269</v>
      </c>
      <c r="B270" s="2" t="s">
        <v>604</v>
      </c>
      <c r="C270" s="2" t="s">
        <v>645</v>
      </c>
      <c r="D270" s="2" t="s">
        <v>64</v>
      </c>
      <c r="E270" s="2" t="s">
        <v>27</v>
      </c>
      <c r="F270" s="2" t="s">
        <v>104</v>
      </c>
      <c r="G270" s="2" t="s">
        <v>116</v>
      </c>
      <c r="H270" s="2">
        <v>5</v>
      </c>
      <c r="I270" s="2">
        <v>3438.33</v>
      </c>
      <c r="J270" s="2">
        <v>2063</v>
      </c>
      <c r="K270" s="2">
        <v>0.1</v>
      </c>
      <c r="L270" s="2">
        <v>15472.51</v>
      </c>
    </row>
    <row r="271" spans="1:12" ht="15" customHeight="1" x14ac:dyDescent="0.3">
      <c r="A271" s="2">
        <v>100270</v>
      </c>
      <c r="B271" s="2" t="s">
        <v>646</v>
      </c>
      <c r="C271" s="2" t="s">
        <v>647</v>
      </c>
      <c r="D271" s="2" t="s">
        <v>44</v>
      </c>
      <c r="E271" s="2" t="s">
        <v>27</v>
      </c>
      <c r="F271" s="2" t="s">
        <v>371</v>
      </c>
      <c r="G271" s="2" t="s">
        <v>67</v>
      </c>
      <c r="H271" s="2">
        <v>5</v>
      </c>
      <c r="I271" s="2">
        <v>7487.17</v>
      </c>
      <c r="J271" s="2">
        <v>4642.05</v>
      </c>
      <c r="K271" s="2">
        <v>0.1</v>
      </c>
      <c r="L271" s="2">
        <v>33692.28</v>
      </c>
    </row>
    <row r="272" spans="1:12" ht="15" customHeight="1" x14ac:dyDescent="0.3">
      <c r="A272" s="2">
        <v>100271</v>
      </c>
      <c r="B272" s="2" t="s">
        <v>96</v>
      </c>
      <c r="C272" s="2" t="s">
        <v>648</v>
      </c>
      <c r="D272" s="2" t="s">
        <v>79</v>
      </c>
      <c r="E272" s="2" t="s">
        <v>80</v>
      </c>
      <c r="F272" s="2" t="s">
        <v>246</v>
      </c>
      <c r="G272" s="2" t="s">
        <v>264</v>
      </c>
      <c r="H272" s="2">
        <v>9</v>
      </c>
      <c r="I272" s="2">
        <v>2760.17</v>
      </c>
      <c r="J272" s="2">
        <v>1324.88</v>
      </c>
      <c r="K272" s="2">
        <v>0</v>
      </c>
      <c r="L272" s="2">
        <v>24841.56</v>
      </c>
    </row>
    <row r="273" spans="1:12" ht="15" customHeight="1" x14ac:dyDescent="0.3">
      <c r="A273" s="2">
        <v>100272</v>
      </c>
      <c r="B273" s="2" t="s">
        <v>649</v>
      </c>
      <c r="C273" s="2" t="s">
        <v>650</v>
      </c>
      <c r="D273" s="2" t="s">
        <v>64</v>
      </c>
      <c r="E273" s="2" t="s">
        <v>124</v>
      </c>
      <c r="F273" s="2" t="s">
        <v>309</v>
      </c>
      <c r="G273" s="2" t="s">
        <v>175</v>
      </c>
      <c r="H273" s="2">
        <v>2</v>
      </c>
      <c r="I273" s="2">
        <v>248.91</v>
      </c>
      <c r="J273" s="2">
        <v>124.46</v>
      </c>
      <c r="K273" s="2">
        <v>0.15</v>
      </c>
      <c r="L273" s="2">
        <v>423.15</v>
      </c>
    </row>
    <row r="274" spans="1:12" ht="15" customHeight="1" x14ac:dyDescent="0.3">
      <c r="A274" s="2">
        <v>100273</v>
      </c>
      <c r="B274" s="2" t="s">
        <v>651</v>
      </c>
      <c r="C274" s="2" t="s">
        <v>216</v>
      </c>
      <c r="D274" s="2" t="s">
        <v>108</v>
      </c>
      <c r="E274" s="2" t="s">
        <v>54</v>
      </c>
      <c r="F274" s="2" t="s">
        <v>652</v>
      </c>
      <c r="G274" s="2" t="s">
        <v>82</v>
      </c>
      <c r="H274" s="2">
        <v>11</v>
      </c>
      <c r="I274" s="2">
        <v>2954.01</v>
      </c>
      <c r="J274" s="2">
        <v>1477</v>
      </c>
      <c r="K274" s="2">
        <v>0.05</v>
      </c>
      <c r="L274" s="2">
        <v>30869.39</v>
      </c>
    </row>
    <row r="275" spans="1:12" ht="15" customHeight="1" x14ac:dyDescent="0.3">
      <c r="A275" s="2">
        <v>100274</v>
      </c>
      <c r="B275" s="2" t="s">
        <v>653</v>
      </c>
      <c r="C275" s="2" t="s">
        <v>654</v>
      </c>
      <c r="D275" s="2" t="s">
        <v>92</v>
      </c>
      <c r="E275" s="2" t="s">
        <v>124</v>
      </c>
      <c r="F275" s="2" t="s">
        <v>409</v>
      </c>
      <c r="G275" s="2" t="s">
        <v>183</v>
      </c>
      <c r="H275" s="2">
        <v>12</v>
      </c>
      <c r="I275" s="2">
        <v>215.52</v>
      </c>
      <c r="J275" s="2">
        <v>103.45</v>
      </c>
      <c r="K275" s="2">
        <v>0.1</v>
      </c>
      <c r="L275" s="2">
        <v>2327.65</v>
      </c>
    </row>
    <row r="276" spans="1:12" ht="15" customHeight="1" x14ac:dyDescent="0.3">
      <c r="A276" s="2">
        <v>100275</v>
      </c>
      <c r="B276" s="2" t="s">
        <v>257</v>
      </c>
      <c r="C276" s="2" t="s">
        <v>655</v>
      </c>
      <c r="D276" s="2" t="s">
        <v>26</v>
      </c>
      <c r="E276" s="2" t="s">
        <v>128</v>
      </c>
      <c r="F276" s="2" t="s">
        <v>418</v>
      </c>
      <c r="G276" s="2" t="s">
        <v>90</v>
      </c>
      <c r="H276" s="2">
        <v>8</v>
      </c>
      <c r="I276" s="2">
        <v>45958.34</v>
      </c>
      <c r="J276" s="2">
        <v>29872.92</v>
      </c>
      <c r="K276" s="2">
        <v>0</v>
      </c>
      <c r="L276" s="2">
        <v>367666.7</v>
      </c>
    </row>
    <row r="277" spans="1:12" ht="15" customHeight="1" x14ac:dyDescent="0.3">
      <c r="A277" s="2">
        <v>100276</v>
      </c>
      <c r="B277" s="2" t="s">
        <v>656</v>
      </c>
      <c r="C277" s="2" t="s">
        <v>657</v>
      </c>
      <c r="D277" s="2" t="s">
        <v>160</v>
      </c>
      <c r="E277" s="2" t="s">
        <v>93</v>
      </c>
      <c r="F277" s="2" t="s">
        <v>94</v>
      </c>
      <c r="G277" s="2" t="s">
        <v>277</v>
      </c>
      <c r="H277" s="2">
        <v>3</v>
      </c>
      <c r="I277" s="2">
        <v>3910.23</v>
      </c>
      <c r="J277" s="2">
        <v>2541.65</v>
      </c>
      <c r="K277" s="2">
        <v>0.15</v>
      </c>
      <c r="L277" s="2">
        <v>9971.08</v>
      </c>
    </row>
    <row r="278" spans="1:12" ht="15" customHeight="1" x14ac:dyDescent="0.3">
      <c r="A278" s="2">
        <v>100277</v>
      </c>
      <c r="B278" s="2" t="s">
        <v>339</v>
      </c>
      <c r="C278" s="2" t="s">
        <v>658</v>
      </c>
      <c r="D278" s="2" t="s">
        <v>121</v>
      </c>
      <c r="E278" s="2" t="s">
        <v>54</v>
      </c>
      <c r="F278" s="2" t="s">
        <v>317</v>
      </c>
      <c r="G278" s="2" t="s">
        <v>221</v>
      </c>
      <c r="H278" s="2">
        <v>6</v>
      </c>
      <c r="I278" s="2">
        <v>1822.71</v>
      </c>
      <c r="J278" s="2">
        <v>911.35</v>
      </c>
      <c r="K278" s="2">
        <v>0</v>
      </c>
      <c r="L278" s="2">
        <v>10936.24</v>
      </c>
    </row>
    <row r="279" spans="1:12" ht="15" customHeight="1" x14ac:dyDescent="0.3">
      <c r="A279" s="2">
        <v>100278</v>
      </c>
      <c r="B279" s="2" t="s">
        <v>659</v>
      </c>
      <c r="C279" s="2" t="s">
        <v>660</v>
      </c>
      <c r="D279" s="2" t="s">
        <v>26</v>
      </c>
      <c r="E279" s="2" t="s">
        <v>128</v>
      </c>
      <c r="F279" s="2" t="s">
        <v>34</v>
      </c>
      <c r="G279" s="2" t="s">
        <v>254</v>
      </c>
      <c r="H279" s="2">
        <v>5</v>
      </c>
      <c r="I279" s="2">
        <v>903.63</v>
      </c>
      <c r="J279" s="2">
        <v>542.17999999999995</v>
      </c>
      <c r="K279" s="2">
        <v>0.1</v>
      </c>
      <c r="L279" s="2">
        <v>4066.33</v>
      </c>
    </row>
    <row r="280" spans="1:12" ht="15" customHeight="1" x14ac:dyDescent="0.3">
      <c r="A280" s="2">
        <v>100279</v>
      </c>
      <c r="B280" s="2" t="s">
        <v>661</v>
      </c>
      <c r="C280" s="2" t="s">
        <v>662</v>
      </c>
      <c r="D280" s="2" t="s">
        <v>73</v>
      </c>
      <c r="E280" s="2" t="s">
        <v>80</v>
      </c>
      <c r="F280" s="2" t="s">
        <v>652</v>
      </c>
      <c r="G280" s="2" t="s">
        <v>138</v>
      </c>
      <c r="H280" s="2">
        <v>2</v>
      </c>
      <c r="I280" s="2">
        <v>2210.7600000000002</v>
      </c>
      <c r="J280" s="2">
        <v>1105.3800000000001</v>
      </c>
      <c r="K280" s="2">
        <v>0</v>
      </c>
      <c r="L280" s="2">
        <v>4421.5200000000004</v>
      </c>
    </row>
    <row r="281" spans="1:12" ht="15" customHeight="1" x14ac:dyDescent="0.3">
      <c r="A281" s="2">
        <v>100280</v>
      </c>
      <c r="B281" s="2" t="s">
        <v>663</v>
      </c>
      <c r="C281" s="2" t="s">
        <v>664</v>
      </c>
      <c r="D281" s="2" t="s">
        <v>73</v>
      </c>
      <c r="E281" s="2" t="s">
        <v>188</v>
      </c>
      <c r="F281" s="2" t="s">
        <v>182</v>
      </c>
      <c r="G281" s="2" t="s">
        <v>200</v>
      </c>
      <c r="H281" s="2">
        <v>6</v>
      </c>
      <c r="I281" s="2">
        <v>171.45</v>
      </c>
      <c r="J281" s="2">
        <v>82.3</v>
      </c>
      <c r="K281" s="2">
        <v>0</v>
      </c>
      <c r="L281" s="2">
        <v>1028.72</v>
      </c>
    </row>
    <row r="282" spans="1:12" ht="15" customHeight="1" x14ac:dyDescent="0.3">
      <c r="A282" s="2">
        <v>100281</v>
      </c>
      <c r="B282" s="2" t="s">
        <v>665</v>
      </c>
      <c r="C282" s="2" t="s">
        <v>666</v>
      </c>
      <c r="D282" s="2" t="s">
        <v>102</v>
      </c>
      <c r="E282" s="2" t="s">
        <v>137</v>
      </c>
      <c r="F282" s="2" t="s">
        <v>484</v>
      </c>
      <c r="G282" s="2" t="s">
        <v>264</v>
      </c>
      <c r="H282" s="2">
        <v>6</v>
      </c>
      <c r="I282" s="2">
        <v>2626.73</v>
      </c>
      <c r="J282" s="2">
        <v>1260.83</v>
      </c>
      <c r="K282" s="2">
        <v>0.2</v>
      </c>
      <c r="L282" s="2">
        <v>12608.28</v>
      </c>
    </row>
    <row r="283" spans="1:12" ht="15" customHeight="1" x14ac:dyDescent="0.3">
      <c r="A283" s="2">
        <v>100282</v>
      </c>
      <c r="B283" s="2" t="s">
        <v>224</v>
      </c>
      <c r="C283" s="2" t="s">
        <v>667</v>
      </c>
      <c r="D283" s="2" t="s">
        <v>73</v>
      </c>
      <c r="E283" s="2" t="s">
        <v>74</v>
      </c>
      <c r="F283" s="2" t="s">
        <v>418</v>
      </c>
      <c r="G283" s="2" t="s">
        <v>343</v>
      </c>
      <c r="H283" s="2">
        <v>4</v>
      </c>
      <c r="I283" s="2">
        <v>38000.9</v>
      </c>
      <c r="J283" s="2">
        <v>25840.61</v>
      </c>
      <c r="K283" s="2">
        <v>0.1</v>
      </c>
      <c r="L283" s="2">
        <v>136803.25</v>
      </c>
    </row>
    <row r="284" spans="1:12" ht="15" customHeight="1" x14ac:dyDescent="0.3">
      <c r="A284" s="2">
        <v>100283</v>
      </c>
      <c r="B284" s="2" t="s">
        <v>207</v>
      </c>
      <c r="C284" s="2" t="s">
        <v>668</v>
      </c>
      <c r="D284" s="2" t="s">
        <v>32</v>
      </c>
      <c r="E284" s="2" t="s">
        <v>39</v>
      </c>
      <c r="F284" s="2" t="s">
        <v>99</v>
      </c>
      <c r="G284" s="2" t="s">
        <v>67</v>
      </c>
      <c r="H284" s="2">
        <v>9</v>
      </c>
      <c r="I284" s="2">
        <v>7225.81</v>
      </c>
      <c r="J284" s="2">
        <v>4480.01</v>
      </c>
      <c r="K284" s="2">
        <v>0.05</v>
      </c>
      <c r="L284" s="2">
        <v>61780.72</v>
      </c>
    </row>
    <row r="285" spans="1:12" ht="15" customHeight="1" x14ac:dyDescent="0.3">
      <c r="A285" s="2">
        <v>100284</v>
      </c>
      <c r="B285" s="2" t="s">
        <v>508</v>
      </c>
      <c r="C285" s="2" t="s">
        <v>669</v>
      </c>
      <c r="D285" s="2" t="s">
        <v>53</v>
      </c>
      <c r="E285" s="2" t="s">
        <v>232</v>
      </c>
      <c r="F285" s="2" t="s">
        <v>309</v>
      </c>
      <c r="G285" s="2" t="s">
        <v>175</v>
      </c>
      <c r="H285" s="2">
        <v>4</v>
      </c>
      <c r="I285" s="2">
        <v>237.79</v>
      </c>
      <c r="J285" s="2">
        <v>118.9</v>
      </c>
      <c r="K285" s="2">
        <v>0</v>
      </c>
      <c r="L285" s="2">
        <v>951.16</v>
      </c>
    </row>
    <row r="286" spans="1:12" ht="15" customHeight="1" x14ac:dyDescent="0.3">
      <c r="A286" s="2">
        <v>100285</v>
      </c>
      <c r="B286" s="2" t="s">
        <v>670</v>
      </c>
      <c r="C286" s="2" t="s">
        <v>671</v>
      </c>
      <c r="D286" s="2" t="s">
        <v>59</v>
      </c>
      <c r="E286" s="2" t="s">
        <v>74</v>
      </c>
      <c r="F286" s="2" t="s">
        <v>129</v>
      </c>
      <c r="G286" s="2" t="s">
        <v>166</v>
      </c>
      <c r="H286" s="2">
        <v>3</v>
      </c>
      <c r="I286" s="2">
        <v>21864.63</v>
      </c>
      <c r="J286" s="2">
        <v>12681.48</v>
      </c>
      <c r="K286" s="2">
        <v>0.2</v>
      </c>
      <c r="L286" s="2">
        <v>52475.1</v>
      </c>
    </row>
    <row r="287" spans="1:12" ht="15" customHeight="1" x14ac:dyDescent="0.3">
      <c r="A287" s="2">
        <v>100286</v>
      </c>
      <c r="B287" s="2" t="s">
        <v>672</v>
      </c>
      <c r="C287" s="2" t="s">
        <v>673</v>
      </c>
      <c r="D287" s="2" t="s">
        <v>26</v>
      </c>
      <c r="E287" s="2" t="s">
        <v>124</v>
      </c>
      <c r="F287" s="2" t="s">
        <v>393</v>
      </c>
      <c r="G287" s="2" t="s">
        <v>50</v>
      </c>
      <c r="H287" s="2">
        <v>1</v>
      </c>
      <c r="I287" s="2">
        <v>121.57</v>
      </c>
      <c r="J287" s="2">
        <v>54.71</v>
      </c>
      <c r="K287" s="2">
        <v>0.1</v>
      </c>
      <c r="L287" s="2">
        <v>109.41</v>
      </c>
    </row>
    <row r="288" spans="1:12" ht="15" customHeight="1" x14ac:dyDescent="0.3">
      <c r="A288" s="2">
        <v>100287</v>
      </c>
      <c r="B288" s="2" t="s">
        <v>674</v>
      </c>
      <c r="C288" s="2" t="s">
        <v>675</v>
      </c>
      <c r="D288" s="2" t="s">
        <v>121</v>
      </c>
      <c r="E288" s="2" t="s">
        <v>85</v>
      </c>
      <c r="F288" s="2" t="s">
        <v>109</v>
      </c>
      <c r="G288" s="2" t="s">
        <v>110</v>
      </c>
      <c r="H288" s="2">
        <v>5</v>
      </c>
      <c r="I288" s="2">
        <v>1267.83</v>
      </c>
      <c r="J288" s="2">
        <v>760.7</v>
      </c>
      <c r="K288" s="2">
        <v>0.1</v>
      </c>
      <c r="L288" s="2">
        <v>5705.23</v>
      </c>
    </row>
    <row r="289" spans="1:12" ht="15" customHeight="1" x14ac:dyDescent="0.3">
      <c r="A289" s="2">
        <v>100288</v>
      </c>
      <c r="B289" s="2" t="s">
        <v>676</v>
      </c>
      <c r="C289" s="2" t="s">
        <v>677</v>
      </c>
      <c r="D289" s="2" t="s">
        <v>38</v>
      </c>
      <c r="E289" s="2" t="s">
        <v>54</v>
      </c>
      <c r="F289" s="2" t="s">
        <v>334</v>
      </c>
      <c r="G289" s="2" t="s">
        <v>138</v>
      </c>
      <c r="H289" s="2">
        <v>9</v>
      </c>
      <c r="I289" s="2">
        <v>2134.08</v>
      </c>
      <c r="J289" s="2">
        <v>1067.04</v>
      </c>
      <c r="K289" s="2">
        <v>0.05</v>
      </c>
      <c r="L289" s="2">
        <v>18246.400000000001</v>
      </c>
    </row>
    <row r="290" spans="1:12" ht="15" customHeight="1" x14ac:dyDescent="0.3">
      <c r="A290" s="2">
        <v>100289</v>
      </c>
      <c r="B290" s="2" t="s">
        <v>353</v>
      </c>
      <c r="C290" s="2" t="s">
        <v>678</v>
      </c>
      <c r="D290" s="2" t="s">
        <v>92</v>
      </c>
      <c r="E290" s="2" t="s">
        <v>39</v>
      </c>
      <c r="F290" s="2" t="s">
        <v>66</v>
      </c>
      <c r="G290" s="2" t="s">
        <v>570</v>
      </c>
      <c r="H290" s="2">
        <v>10</v>
      </c>
      <c r="I290" s="2">
        <v>8784.14</v>
      </c>
      <c r="J290" s="2">
        <v>5270.48</v>
      </c>
      <c r="K290" s="2">
        <v>0.1</v>
      </c>
      <c r="L290" s="2">
        <v>79057.22</v>
      </c>
    </row>
    <row r="291" spans="1:12" ht="15" customHeight="1" x14ac:dyDescent="0.3">
      <c r="A291" s="2">
        <v>100290</v>
      </c>
      <c r="B291" s="2" t="s">
        <v>679</v>
      </c>
      <c r="C291" s="2" t="s">
        <v>31</v>
      </c>
      <c r="D291" s="2" t="s">
        <v>209</v>
      </c>
      <c r="E291" s="2" t="s">
        <v>54</v>
      </c>
      <c r="F291" s="2" t="s">
        <v>156</v>
      </c>
      <c r="G291" s="2" t="s">
        <v>157</v>
      </c>
      <c r="H291" s="2">
        <v>9</v>
      </c>
      <c r="I291" s="2">
        <v>680.32</v>
      </c>
      <c r="J291" s="2">
        <v>306.14999999999998</v>
      </c>
      <c r="K291" s="2">
        <v>0.1</v>
      </c>
      <c r="L291" s="2">
        <v>5510.62</v>
      </c>
    </row>
    <row r="292" spans="1:12" ht="15" customHeight="1" x14ac:dyDescent="0.3">
      <c r="A292" s="2">
        <v>100291</v>
      </c>
      <c r="B292" s="2" t="s">
        <v>680</v>
      </c>
      <c r="C292" s="2" t="s">
        <v>681</v>
      </c>
      <c r="D292" s="2" t="s">
        <v>209</v>
      </c>
      <c r="E292" s="2" t="s">
        <v>21</v>
      </c>
      <c r="F292" s="2" t="s">
        <v>292</v>
      </c>
      <c r="G292" s="2" t="s">
        <v>193</v>
      </c>
      <c r="H292" s="2">
        <v>7</v>
      </c>
      <c r="I292" s="2">
        <v>3118.82</v>
      </c>
      <c r="J292" s="2">
        <v>1559.41</v>
      </c>
      <c r="K292" s="2">
        <v>0.1</v>
      </c>
      <c r="L292" s="2">
        <v>19648.54</v>
      </c>
    </row>
    <row r="293" spans="1:12" ht="15" customHeight="1" x14ac:dyDescent="0.3">
      <c r="A293" s="2">
        <v>100292</v>
      </c>
      <c r="B293" s="2" t="s">
        <v>479</v>
      </c>
      <c r="C293" s="2" t="s">
        <v>682</v>
      </c>
      <c r="D293" s="2" t="s">
        <v>59</v>
      </c>
      <c r="E293" s="2" t="s">
        <v>27</v>
      </c>
      <c r="F293" s="2" t="s">
        <v>301</v>
      </c>
      <c r="G293" s="2" t="s">
        <v>277</v>
      </c>
      <c r="H293" s="2">
        <v>7</v>
      </c>
      <c r="I293" s="2">
        <v>4164</v>
      </c>
      <c r="J293" s="2">
        <v>2706.6</v>
      </c>
      <c r="K293" s="2">
        <v>0.15</v>
      </c>
      <c r="L293" s="2">
        <v>24775.81</v>
      </c>
    </row>
    <row r="294" spans="1:12" ht="15" customHeight="1" x14ac:dyDescent="0.3">
      <c r="A294" s="2">
        <v>100293</v>
      </c>
      <c r="B294" s="2" t="s">
        <v>683</v>
      </c>
      <c r="C294" s="2" t="s">
        <v>684</v>
      </c>
      <c r="D294" s="2" t="s">
        <v>102</v>
      </c>
      <c r="E294" s="2" t="s">
        <v>65</v>
      </c>
      <c r="F294" s="2" t="s">
        <v>276</v>
      </c>
      <c r="G294" s="2" t="s">
        <v>95</v>
      </c>
      <c r="H294" s="2">
        <v>9</v>
      </c>
      <c r="I294" s="2">
        <v>10489.91</v>
      </c>
      <c r="J294" s="2">
        <v>6084.15</v>
      </c>
      <c r="K294" s="2">
        <v>0.05</v>
      </c>
      <c r="L294" s="2">
        <v>89688.74</v>
      </c>
    </row>
    <row r="295" spans="1:12" ht="15" customHeight="1" x14ac:dyDescent="0.3">
      <c r="A295" s="2">
        <v>100294</v>
      </c>
      <c r="B295" s="2" t="s">
        <v>685</v>
      </c>
      <c r="C295" s="2" t="s">
        <v>686</v>
      </c>
      <c r="D295" s="2" t="s">
        <v>64</v>
      </c>
      <c r="E295" s="2" t="s">
        <v>93</v>
      </c>
      <c r="F295" s="2" t="s">
        <v>276</v>
      </c>
      <c r="G295" s="2" t="s">
        <v>95</v>
      </c>
      <c r="H295" s="2">
        <v>1</v>
      </c>
      <c r="I295" s="2">
        <v>10292.92</v>
      </c>
      <c r="J295" s="2">
        <v>5969.89</v>
      </c>
      <c r="K295" s="2">
        <v>0.15</v>
      </c>
      <c r="L295" s="2">
        <v>8748.98</v>
      </c>
    </row>
    <row r="296" spans="1:12" ht="15" customHeight="1" x14ac:dyDescent="0.3">
      <c r="A296" s="2">
        <v>100295</v>
      </c>
      <c r="B296" s="2" t="s">
        <v>172</v>
      </c>
      <c r="C296" s="2" t="s">
        <v>687</v>
      </c>
      <c r="D296" s="2" t="s">
        <v>64</v>
      </c>
      <c r="E296" s="2" t="s">
        <v>21</v>
      </c>
      <c r="F296" s="2" t="s">
        <v>435</v>
      </c>
      <c r="G296" s="2" t="s">
        <v>35</v>
      </c>
      <c r="H296" s="2">
        <v>4</v>
      </c>
      <c r="I296" s="2">
        <v>3240.91</v>
      </c>
      <c r="J296" s="2">
        <v>1620.45</v>
      </c>
      <c r="K296" s="2">
        <v>0.15</v>
      </c>
      <c r="L296" s="2">
        <v>11019.09</v>
      </c>
    </row>
    <row r="297" spans="1:12" ht="15" customHeight="1" x14ac:dyDescent="0.3">
      <c r="A297" s="2">
        <v>100296</v>
      </c>
      <c r="B297" s="2" t="s">
        <v>688</v>
      </c>
      <c r="C297" s="2" t="s">
        <v>170</v>
      </c>
      <c r="D297" s="2" t="s">
        <v>155</v>
      </c>
      <c r="E297" s="2" t="s">
        <v>33</v>
      </c>
      <c r="F297" s="2" t="s">
        <v>226</v>
      </c>
      <c r="G297" s="2" t="s">
        <v>87</v>
      </c>
      <c r="H297" s="2">
        <v>6</v>
      </c>
      <c r="I297" s="2">
        <v>65991.13</v>
      </c>
      <c r="J297" s="2">
        <v>39594.68</v>
      </c>
      <c r="K297" s="2">
        <v>0.1</v>
      </c>
      <c r="L297" s="2">
        <v>356352.09</v>
      </c>
    </row>
    <row r="298" spans="1:12" ht="15" customHeight="1" x14ac:dyDescent="0.3">
      <c r="A298" s="2">
        <v>100297</v>
      </c>
      <c r="B298" s="2" t="s">
        <v>689</v>
      </c>
      <c r="C298" s="2" t="s">
        <v>690</v>
      </c>
      <c r="D298" s="2" t="s">
        <v>59</v>
      </c>
      <c r="E298" s="2" t="s">
        <v>188</v>
      </c>
      <c r="F298" s="2" t="s">
        <v>49</v>
      </c>
      <c r="G298" s="2" t="s">
        <v>50</v>
      </c>
      <c r="H298" s="2">
        <v>9</v>
      </c>
      <c r="I298" s="2">
        <v>124.89</v>
      </c>
      <c r="J298" s="2">
        <v>56.2</v>
      </c>
      <c r="K298" s="2">
        <v>0</v>
      </c>
      <c r="L298" s="2">
        <v>1123.97</v>
      </c>
    </row>
    <row r="299" spans="1:12" ht="15" customHeight="1" x14ac:dyDescent="0.3">
      <c r="A299" s="2">
        <v>100298</v>
      </c>
      <c r="B299" s="2" t="s">
        <v>691</v>
      </c>
      <c r="C299" s="2" t="s">
        <v>692</v>
      </c>
      <c r="D299" s="2" t="s">
        <v>160</v>
      </c>
      <c r="E299" s="2" t="s">
        <v>85</v>
      </c>
      <c r="F299" s="2" t="s">
        <v>368</v>
      </c>
      <c r="G299" s="2" t="s">
        <v>254</v>
      </c>
      <c r="H299" s="2">
        <v>2</v>
      </c>
      <c r="I299" s="2">
        <v>951.72</v>
      </c>
      <c r="J299" s="2">
        <v>571.03</v>
      </c>
      <c r="K299" s="2">
        <v>0.1</v>
      </c>
      <c r="L299" s="2">
        <v>1713.09</v>
      </c>
    </row>
    <row r="300" spans="1:12" ht="15" customHeight="1" x14ac:dyDescent="0.3">
      <c r="A300" s="2">
        <v>100299</v>
      </c>
      <c r="B300" s="2" t="s">
        <v>693</v>
      </c>
      <c r="C300" s="2" t="s">
        <v>694</v>
      </c>
      <c r="D300" s="2" t="s">
        <v>44</v>
      </c>
      <c r="E300" s="2" t="s">
        <v>74</v>
      </c>
      <c r="F300" s="2" t="s">
        <v>22</v>
      </c>
      <c r="G300" s="2" t="s">
        <v>229</v>
      </c>
      <c r="H300" s="2">
        <v>6</v>
      </c>
      <c r="I300" s="2">
        <v>14546.22</v>
      </c>
      <c r="J300" s="2">
        <v>8727.73</v>
      </c>
      <c r="K300" s="2">
        <v>0.1</v>
      </c>
      <c r="L300" s="2">
        <v>78549.600000000006</v>
      </c>
    </row>
    <row r="301" spans="1:12" ht="15" customHeight="1" x14ac:dyDescent="0.3">
      <c r="A301" s="2">
        <v>100300</v>
      </c>
      <c r="B301" s="2" t="s">
        <v>387</v>
      </c>
      <c r="C301" s="2" t="s">
        <v>695</v>
      </c>
      <c r="D301" s="2" t="s">
        <v>92</v>
      </c>
      <c r="E301" s="2" t="s">
        <v>27</v>
      </c>
      <c r="F301" s="2" t="s">
        <v>28</v>
      </c>
      <c r="G301" s="2" t="s">
        <v>70</v>
      </c>
      <c r="H301" s="2">
        <v>4</v>
      </c>
      <c r="I301" s="2">
        <v>5465.37</v>
      </c>
      <c r="J301" s="2">
        <v>3279.22</v>
      </c>
      <c r="K301" s="2">
        <v>0.05</v>
      </c>
      <c r="L301" s="2">
        <v>20768.41</v>
      </c>
    </row>
    <row r="302" spans="1:12" ht="15" customHeight="1" x14ac:dyDescent="0.3">
      <c r="A302" s="2">
        <v>100301</v>
      </c>
      <c r="B302" s="2" t="s">
        <v>696</v>
      </c>
      <c r="C302" s="2" t="s">
        <v>697</v>
      </c>
      <c r="D302" s="2" t="s">
        <v>59</v>
      </c>
      <c r="E302" s="2" t="s">
        <v>232</v>
      </c>
      <c r="F302" s="2" t="s">
        <v>261</v>
      </c>
      <c r="G302" s="2" t="s">
        <v>183</v>
      </c>
      <c r="H302" s="2">
        <v>1</v>
      </c>
      <c r="I302" s="2">
        <v>208.56</v>
      </c>
      <c r="J302" s="2">
        <v>100.11</v>
      </c>
      <c r="K302" s="2">
        <v>0.15</v>
      </c>
      <c r="L302" s="2">
        <v>177.28</v>
      </c>
    </row>
    <row r="303" spans="1:12" ht="15" customHeight="1" x14ac:dyDescent="0.3">
      <c r="A303" s="2">
        <v>100302</v>
      </c>
      <c r="B303" s="2" t="s">
        <v>698</v>
      </c>
      <c r="C303" s="2" t="s">
        <v>699</v>
      </c>
      <c r="D303" s="2" t="s">
        <v>26</v>
      </c>
      <c r="E303" s="2" t="s">
        <v>85</v>
      </c>
      <c r="F303" s="2" t="s">
        <v>165</v>
      </c>
      <c r="G303" s="2" t="s">
        <v>23</v>
      </c>
      <c r="H303" s="2">
        <v>1</v>
      </c>
      <c r="I303" s="2">
        <v>9375.76</v>
      </c>
      <c r="J303" s="2">
        <v>5812.97</v>
      </c>
      <c r="K303" s="2">
        <v>0.2</v>
      </c>
      <c r="L303" s="2"/>
    </row>
    <row r="304" spans="1:12" ht="15" customHeight="1" x14ac:dyDescent="0.3">
      <c r="A304" s="2">
        <v>100303</v>
      </c>
      <c r="B304" s="2" t="s">
        <v>631</v>
      </c>
      <c r="C304" s="2" t="s">
        <v>700</v>
      </c>
      <c r="D304" s="2" t="s">
        <v>38</v>
      </c>
      <c r="E304" s="2" t="s">
        <v>85</v>
      </c>
      <c r="F304" s="2" t="s">
        <v>578</v>
      </c>
      <c r="G304" s="2" t="s">
        <v>166</v>
      </c>
      <c r="H304" s="2">
        <v>7</v>
      </c>
      <c r="I304" s="2">
        <v>20581.09</v>
      </c>
      <c r="J304" s="2">
        <v>11937.03</v>
      </c>
      <c r="K304" s="2">
        <v>0.1</v>
      </c>
      <c r="L304" s="2">
        <v>129660.87</v>
      </c>
    </row>
    <row r="305" spans="1:12" ht="15" customHeight="1" x14ac:dyDescent="0.3">
      <c r="A305" s="2">
        <v>100304</v>
      </c>
      <c r="B305" s="2" t="s">
        <v>701</v>
      </c>
      <c r="C305" s="2" t="s">
        <v>291</v>
      </c>
      <c r="D305" s="2" t="s">
        <v>59</v>
      </c>
      <c r="E305" s="2" t="s">
        <v>74</v>
      </c>
      <c r="F305" s="2" t="s">
        <v>109</v>
      </c>
      <c r="G305" s="2" t="s">
        <v>193</v>
      </c>
      <c r="H305" s="2">
        <v>5</v>
      </c>
      <c r="I305" s="2">
        <v>3178.76</v>
      </c>
      <c r="J305" s="2">
        <v>1589.38</v>
      </c>
      <c r="K305" s="2">
        <v>0.1</v>
      </c>
      <c r="L305" s="2">
        <v>14304.44</v>
      </c>
    </row>
    <row r="306" spans="1:12" ht="15" customHeight="1" x14ac:dyDescent="0.3">
      <c r="A306" s="2">
        <v>100305</v>
      </c>
      <c r="B306" s="2" t="s">
        <v>702</v>
      </c>
      <c r="C306" s="2" t="s">
        <v>703</v>
      </c>
      <c r="D306" s="2" t="s">
        <v>108</v>
      </c>
      <c r="E306" s="2" t="s">
        <v>80</v>
      </c>
      <c r="F306" s="2" t="s">
        <v>273</v>
      </c>
      <c r="G306" s="2" t="s">
        <v>157</v>
      </c>
      <c r="H306" s="2">
        <v>4</v>
      </c>
      <c r="I306" s="2">
        <v>630.32000000000005</v>
      </c>
      <c r="J306" s="2">
        <v>283.64</v>
      </c>
      <c r="K306" s="2">
        <v>0.1</v>
      </c>
      <c r="L306" s="2">
        <v>2269.15</v>
      </c>
    </row>
    <row r="307" spans="1:12" ht="15" customHeight="1" x14ac:dyDescent="0.3">
      <c r="A307" s="2">
        <v>100306</v>
      </c>
      <c r="B307" s="2" t="s">
        <v>467</v>
      </c>
      <c r="C307" s="2" t="s">
        <v>704</v>
      </c>
      <c r="D307" s="2" t="s">
        <v>73</v>
      </c>
      <c r="E307" s="2" t="s">
        <v>124</v>
      </c>
      <c r="F307" s="2" t="s">
        <v>321</v>
      </c>
      <c r="G307" s="2" t="s">
        <v>322</v>
      </c>
      <c r="H307" s="2">
        <v>9</v>
      </c>
      <c r="I307" s="2">
        <v>464.22</v>
      </c>
      <c r="J307" s="2">
        <v>232.11</v>
      </c>
      <c r="K307" s="2">
        <v>0.15</v>
      </c>
      <c r="L307" s="2">
        <v>3551.3</v>
      </c>
    </row>
    <row r="308" spans="1:12" ht="15" customHeight="1" x14ac:dyDescent="0.3">
      <c r="A308" s="2">
        <v>100307</v>
      </c>
      <c r="B308" s="2" t="s">
        <v>705</v>
      </c>
      <c r="C308" s="2" t="s">
        <v>706</v>
      </c>
      <c r="D308" s="2" t="s">
        <v>47</v>
      </c>
      <c r="E308" s="2" t="s">
        <v>27</v>
      </c>
      <c r="F308" s="2" t="s">
        <v>539</v>
      </c>
      <c r="G308" s="2" t="s">
        <v>116</v>
      </c>
      <c r="H308" s="2">
        <v>9</v>
      </c>
      <c r="I308" s="2">
        <v>3465.57</v>
      </c>
      <c r="J308" s="2">
        <v>2079.34</v>
      </c>
      <c r="K308" s="2">
        <v>0.15</v>
      </c>
      <c r="L308" s="2">
        <v>26511.599999999999</v>
      </c>
    </row>
    <row r="309" spans="1:12" ht="15" customHeight="1" x14ac:dyDescent="0.3">
      <c r="A309" s="2">
        <v>100308</v>
      </c>
      <c r="B309" s="2" t="s">
        <v>707</v>
      </c>
      <c r="C309" s="2" t="s">
        <v>708</v>
      </c>
      <c r="D309" s="2" t="s">
        <v>32</v>
      </c>
      <c r="E309" s="2" t="s">
        <v>93</v>
      </c>
      <c r="F309" s="2" t="s">
        <v>94</v>
      </c>
      <c r="G309" s="2" t="s">
        <v>302</v>
      </c>
      <c r="H309" s="2">
        <v>3</v>
      </c>
      <c r="I309" s="2">
        <v>6038.91</v>
      </c>
      <c r="J309" s="2">
        <v>3623.34</v>
      </c>
      <c r="K309" s="2">
        <v>0.2</v>
      </c>
      <c r="L309" s="2">
        <v>14493.37</v>
      </c>
    </row>
    <row r="310" spans="1:12" ht="15" customHeight="1" x14ac:dyDescent="0.3">
      <c r="A310" s="2">
        <v>100309</v>
      </c>
      <c r="B310" s="2" t="s">
        <v>709</v>
      </c>
      <c r="C310" s="2" t="s">
        <v>710</v>
      </c>
      <c r="D310" s="2" t="s">
        <v>47</v>
      </c>
      <c r="E310" s="2" t="s">
        <v>54</v>
      </c>
      <c r="F310" s="2" t="s">
        <v>484</v>
      </c>
      <c r="G310" s="2" t="s">
        <v>150</v>
      </c>
      <c r="H310" s="2">
        <v>7</v>
      </c>
      <c r="I310" s="2">
        <v>1926.39</v>
      </c>
      <c r="J310" s="2">
        <v>963.19</v>
      </c>
      <c r="K310" s="2">
        <v>0</v>
      </c>
      <c r="L310" s="2"/>
    </row>
    <row r="311" spans="1:12" ht="15" customHeight="1" x14ac:dyDescent="0.3">
      <c r="A311" s="2">
        <v>100310</v>
      </c>
      <c r="B311" s="2" t="s">
        <v>711</v>
      </c>
      <c r="C311" s="2" t="s">
        <v>712</v>
      </c>
      <c r="D311" s="2" t="s">
        <v>121</v>
      </c>
      <c r="E311" s="2" t="s">
        <v>74</v>
      </c>
      <c r="F311" s="2" t="s">
        <v>145</v>
      </c>
      <c r="G311" s="2" t="s">
        <v>110</v>
      </c>
      <c r="H311" s="2">
        <v>10</v>
      </c>
      <c r="I311" s="2">
        <v>1216.43</v>
      </c>
      <c r="J311" s="2">
        <v>729.86</v>
      </c>
      <c r="K311" s="2">
        <v>0.05</v>
      </c>
      <c r="L311" s="2">
        <v>11556.1</v>
      </c>
    </row>
    <row r="312" spans="1:12" ht="15" customHeight="1" x14ac:dyDescent="0.3">
      <c r="A312" s="2">
        <v>100311</v>
      </c>
      <c r="B312" s="2" t="s">
        <v>358</v>
      </c>
      <c r="C312" s="2" t="s">
        <v>713</v>
      </c>
      <c r="D312" s="2" t="s">
        <v>38</v>
      </c>
      <c r="E312" s="2" t="s">
        <v>74</v>
      </c>
      <c r="F312" s="2" t="s">
        <v>435</v>
      </c>
      <c r="G312" s="2" t="s">
        <v>254</v>
      </c>
      <c r="H312" s="2">
        <v>1</v>
      </c>
      <c r="I312" s="2">
        <v>1010.91</v>
      </c>
      <c r="J312" s="2">
        <v>606.54</v>
      </c>
      <c r="K312" s="2">
        <v>0</v>
      </c>
      <c r="L312" s="2">
        <v>1010.91</v>
      </c>
    </row>
    <row r="313" spans="1:12" ht="15" customHeight="1" x14ac:dyDescent="0.3">
      <c r="A313" s="2">
        <v>100312</v>
      </c>
      <c r="B313" s="2" t="s">
        <v>714</v>
      </c>
      <c r="C313" s="2" t="s">
        <v>715</v>
      </c>
      <c r="D313" s="2" t="s">
        <v>102</v>
      </c>
      <c r="E313" s="2" t="s">
        <v>124</v>
      </c>
      <c r="F313" s="2" t="s">
        <v>182</v>
      </c>
      <c r="G313" s="2" t="s">
        <v>200</v>
      </c>
      <c r="H313" s="2">
        <v>7</v>
      </c>
      <c r="I313" s="2">
        <v>177.89</v>
      </c>
      <c r="J313" s="2">
        <v>85.39</v>
      </c>
      <c r="K313" s="2">
        <v>0</v>
      </c>
      <c r="L313" s="2">
        <v>1245.23</v>
      </c>
    </row>
    <row r="314" spans="1:12" ht="15" customHeight="1" x14ac:dyDescent="0.3">
      <c r="A314" s="2">
        <v>100313</v>
      </c>
      <c r="B314" s="2" t="s">
        <v>215</v>
      </c>
      <c r="C314" s="2" t="s">
        <v>716</v>
      </c>
      <c r="D314" s="2" t="s">
        <v>92</v>
      </c>
      <c r="E314" s="2" t="s">
        <v>137</v>
      </c>
      <c r="F314" s="2" t="s">
        <v>484</v>
      </c>
      <c r="G314" s="2" t="s">
        <v>264</v>
      </c>
      <c r="H314" s="2">
        <v>1</v>
      </c>
      <c r="I314" s="2">
        <v>2530.46</v>
      </c>
      <c r="J314" s="2">
        <v>1214.6199999999999</v>
      </c>
      <c r="K314" s="2">
        <v>0.1</v>
      </c>
      <c r="L314" s="2">
        <v>2277.41</v>
      </c>
    </row>
    <row r="315" spans="1:12" ht="15" customHeight="1" x14ac:dyDescent="0.3">
      <c r="A315" s="2">
        <v>100314</v>
      </c>
      <c r="B315" s="2" t="s">
        <v>717</v>
      </c>
      <c r="C315" s="2" t="s">
        <v>718</v>
      </c>
      <c r="D315" s="2" t="s">
        <v>98</v>
      </c>
      <c r="E315" s="2" t="s">
        <v>33</v>
      </c>
      <c r="F315" s="2" t="s">
        <v>253</v>
      </c>
      <c r="G315" s="2" t="s">
        <v>35</v>
      </c>
      <c r="H315" s="2">
        <v>6</v>
      </c>
      <c r="I315" s="2">
        <v>2979.38</v>
      </c>
      <c r="J315" s="2">
        <v>1489.69</v>
      </c>
      <c r="K315" s="2">
        <v>0.15</v>
      </c>
      <c r="L315" s="2">
        <v>15194.83</v>
      </c>
    </row>
    <row r="316" spans="1:12" ht="15" customHeight="1" x14ac:dyDescent="0.3">
      <c r="A316" s="2">
        <v>100315</v>
      </c>
      <c r="B316" s="2" t="s">
        <v>719</v>
      </c>
      <c r="C316" s="2" t="s">
        <v>720</v>
      </c>
      <c r="D316" s="2" t="s">
        <v>44</v>
      </c>
      <c r="E316" s="2" t="s">
        <v>103</v>
      </c>
      <c r="F316" s="2" t="s">
        <v>40</v>
      </c>
      <c r="G316" s="2" t="s">
        <v>41</v>
      </c>
      <c r="H316" s="2">
        <v>5</v>
      </c>
      <c r="I316" s="2">
        <v>5149.2299999999996</v>
      </c>
      <c r="J316" s="2">
        <v>3347</v>
      </c>
      <c r="K316" s="2">
        <v>0.2</v>
      </c>
      <c r="L316" s="2"/>
    </row>
    <row r="317" spans="1:12" ht="15" customHeight="1" x14ac:dyDescent="0.3">
      <c r="A317" s="2">
        <v>100316</v>
      </c>
      <c r="B317" s="2" t="s">
        <v>721</v>
      </c>
      <c r="C317" s="2" t="s">
        <v>722</v>
      </c>
      <c r="D317" s="2" t="s">
        <v>20</v>
      </c>
      <c r="E317" s="2" t="s">
        <v>54</v>
      </c>
      <c r="F317" s="2" t="s">
        <v>334</v>
      </c>
      <c r="G317" s="2" t="s">
        <v>82</v>
      </c>
      <c r="H317" s="2">
        <v>10</v>
      </c>
      <c r="I317" s="2">
        <v>2900.05</v>
      </c>
      <c r="J317" s="2">
        <v>1450.02</v>
      </c>
      <c r="K317" s="2"/>
      <c r="L317" s="2">
        <v>26100.43</v>
      </c>
    </row>
    <row r="318" spans="1:12" ht="15" customHeight="1" x14ac:dyDescent="0.3">
      <c r="A318" s="2">
        <v>100317</v>
      </c>
      <c r="B318" s="2" t="s">
        <v>689</v>
      </c>
      <c r="C318" s="2" t="s">
        <v>723</v>
      </c>
      <c r="D318" s="2" t="s">
        <v>337</v>
      </c>
      <c r="E318" s="2" t="s">
        <v>39</v>
      </c>
      <c r="F318" s="2" t="s">
        <v>724</v>
      </c>
      <c r="G318" s="2" t="s">
        <v>67</v>
      </c>
      <c r="H318" s="2">
        <v>6</v>
      </c>
      <c r="I318" s="2">
        <v>6778.89</v>
      </c>
      <c r="J318" s="2">
        <v>4202.91</v>
      </c>
      <c r="K318" s="2"/>
      <c r="L318" s="2">
        <v>32538.69</v>
      </c>
    </row>
    <row r="319" spans="1:12" ht="15" customHeight="1" x14ac:dyDescent="0.3">
      <c r="A319" s="2">
        <v>100318</v>
      </c>
      <c r="B319" s="2" t="s">
        <v>62</v>
      </c>
      <c r="C319" s="2" t="s">
        <v>725</v>
      </c>
      <c r="D319" s="2" t="s">
        <v>53</v>
      </c>
      <c r="E319" s="2" t="s">
        <v>137</v>
      </c>
      <c r="F319" s="2" t="s">
        <v>484</v>
      </c>
      <c r="G319" s="2" t="s">
        <v>150</v>
      </c>
      <c r="H319" s="2">
        <v>2</v>
      </c>
      <c r="I319" s="2">
        <v>1994.82</v>
      </c>
      <c r="J319" s="2">
        <v>997.41</v>
      </c>
      <c r="K319" s="2">
        <v>0.05</v>
      </c>
      <c r="L319" s="2">
        <v>3790.16</v>
      </c>
    </row>
    <row r="320" spans="1:12" ht="15" customHeight="1" x14ac:dyDescent="0.3">
      <c r="A320" s="2">
        <v>100319</v>
      </c>
      <c r="B320" s="2" t="s">
        <v>726</v>
      </c>
      <c r="C320" s="2" t="s">
        <v>727</v>
      </c>
      <c r="D320" s="2" t="s">
        <v>108</v>
      </c>
      <c r="E320" s="2" t="s">
        <v>80</v>
      </c>
      <c r="F320" s="2" t="s">
        <v>81</v>
      </c>
      <c r="G320" s="2" t="s">
        <v>82</v>
      </c>
      <c r="H320" s="2">
        <v>10</v>
      </c>
      <c r="I320" s="2">
        <v>2681.18</v>
      </c>
      <c r="J320" s="2">
        <v>1340.59</v>
      </c>
      <c r="K320" s="2">
        <v>0.1</v>
      </c>
      <c r="L320" s="2">
        <v>24130.61</v>
      </c>
    </row>
    <row r="321" spans="1:12" ht="15" customHeight="1" x14ac:dyDescent="0.3">
      <c r="A321" s="2">
        <v>100320</v>
      </c>
      <c r="B321" s="2" t="s">
        <v>728</v>
      </c>
      <c r="C321" s="2" t="s">
        <v>729</v>
      </c>
      <c r="D321" s="2" t="s">
        <v>64</v>
      </c>
      <c r="E321" s="2" t="s">
        <v>93</v>
      </c>
      <c r="F321" s="2" t="s">
        <v>451</v>
      </c>
      <c r="G321" s="2" t="s">
        <v>29</v>
      </c>
      <c r="H321" s="2">
        <v>8</v>
      </c>
      <c r="I321" s="2">
        <v>4958.68</v>
      </c>
      <c r="J321" s="2">
        <v>3123.97</v>
      </c>
      <c r="K321" s="2">
        <v>0.1</v>
      </c>
      <c r="L321" s="2">
        <v>35702.47</v>
      </c>
    </row>
    <row r="322" spans="1:12" ht="15" customHeight="1" x14ac:dyDescent="0.3">
      <c r="A322" s="2">
        <v>100321</v>
      </c>
      <c r="B322" s="2" t="s">
        <v>730</v>
      </c>
      <c r="C322" s="2" t="s">
        <v>731</v>
      </c>
      <c r="D322" s="2" t="s">
        <v>160</v>
      </c>
      <c r="E322" s="2" t="s">
        <v>54</v>
      </c>
      <c r="F322" s="2" t="s">
        <v>196</v>
      </c>
      <c r="G322" s="2" t="s">
        <v>157</v>
      </c>
      <c r="H322" s="2">
        <v>6</v>
      </c>
      <c r="I322" s="2">
        <v>664.86</v>
      </c>
      <c r="J322" s="2">
        <v>299.18</v>
      </c>
      <c r="K322" s="2">
        <v>0.15</v>
      </c>
      <c r="L322" s="2">
        <v>3390.76</v>
      </c>
    </row>
    <row r="323" spans="1:12" ht="15" customHeight="1" x14ac:dyDescent="0.3">
      <c r="A323" s="2">
        <v>100322</v>
      </c>
      <c r="B323" s="2" t="s">
        <v>732</v>
      </c>
      <c r="C323" s="2" t="s">
        <v>733</v>
      </c>
      <c r="D323" s="2" t="s">
        <v>108</v>
      </c>
      <c r="E323" s="2" t="s">
        <v>124</v>
      </c>
      <c r="F323" s="2" t="s">
        <v>182</v>
      </c>
      <c r="G323" s="2" t="s">
        <v>200</v>
      </c>
      <c r="H323" s="2">
        <v>3</v>
      </c>
      <c r="I323" s="2">
        <v>175.54</v>
      </c>
      <c r="J323" s="2">
        <v>84.26</v>
      </c>
      <c r="K323" s="2">
        <v>0.2</v>
      </c>
      <c r="L323" s="2">
        <v>421.3</v>
      </c>
    </row>
    <row r="324" spans="1:12" ht="15" customHeight="1" x14ac:dyDescent="0.3">
      <c r="A324" s="2">
        <v>100323</v>
      </c>
      <c r="B324" s="2" t="s">
        <v>586</v>
      </c>
      <c r="C324" s="2" t="s">
        <v>673</v>
      </c>
      <c r="D324" s="2" t="s">
        <v>79</v>
      </c>
      <c r="E324" s="2" t="s">
        <v>54</v>
      </c>
      <c r="F324" s="2" t="s">
        <v>317</v>
      </c>
      <c r="G324" s="2" t="s">
        <v>142</v>
      </c>
      <c r="H324" s="2">
        <v>9</v>
      </c>
      <c r="I324" s="2">
        <v>1483.37</v>
      </c>
      <c r="J324" s="2">
        <v>741.69</v>
      </c>
      <c r="K324" s="2">
        <v>0.15</v>
      </c>
      <c r="L324" s="2">
        <v>11347.8</v>
      </c>
    </row>
    <row r="325" spans="1:12" ht="15" customHeight="1" x14ac:dyDescent="0.3">
      <c r="A325" s="2">
        <v>100324</v>
      </c>
      <c r="B325" s="2" t="s">
        <v>734</v>
      </c>
      <c r="C325" s="2" t="s">
        <v>357</v>
      </c>
      <c r="D325" s="2" t="s">
        <v>59</v>
      </c>
      <c r="E325" s="2" t="s">
        <v>181</v>
      </c>
      <c r="F325" s="2" t="s">
        <v>298</v>
      </c>
      <c r="G325" s="2" t="s">
        <v>200</v>
      </c>
      <c r="H325" s="2">
        <v>10</v>
      </c>
      <c r="I325" s="2">
        <v>185.17</v>
      </c>
      <c r="J325" s="2">
        <v>88.88</v>
      </c>
      <c r="K325" s="2">
        <v>0</v>
      </c>
      <c r="L325" s="2">
        <v>1851.73</v>
      </c>
    </row>
    <row r="326" spans="1:12" ht="15" customHeight="1" x14ac:dyDescent="0.3">
      <c r="A326" s="2">
        <v>100325</v>
      </c>
      <c r="B326" s="2" t="s">
        <v>402</v>
      </c>
      <c r="C326" s="2" t="s">
        <v>735</v>
      </c>
      <c r="D326" s="2" t="s">
        <v>32</v>
      </c>
      <c r="E326" s="2" t="s">
        <v>65</v>
      </c>
      <c r="F326" s="2" t="s">
        <v>214</v>
      </c>
      <c r="G326" s="2" t="s">
        <v>116</v>
      </c>
      <c r="H326" s="2">
        <v>2</v>
      </c>
      <c r="I326" s="2">
        <v>3395.4</v>
      </c>
      <c r="J326" s="2">
        <v>2037.24</v>
      </c>
      <c r="K326" s="2"/>
      <c r="L326" s="2">
        <v>6790.81</v>
      </c>
    </row>
    <row r="327" spans="1:12" ht="15" customHeight="1" x14ac:dyDescent="0.3">
      <c r="A327" s="2">
        <v>100326</v>
      </c>
      <c r="B327" s="2" t="s">
        <v>224</v>
      </c>
      <c r="C327" s="2" t="s">
        <v>736</v>
      </c>
      <c r="D327" s="2" t="s">
        <v>64</v>
      </c>
      <c r="E327" s="2" t="s">
        <v>232</v>
      </c>
      <c r="F327" s="2" t="s">
        <v>401</v>
      </c>
      <c r="G327" s="2" t="s">
        <v>338</v>
      </c>
      <c r="H327" s="2">
        <v>9</v>
      </c>
      <c r="I327" s="2">
        <v>155.69999999999999</v>
      </c>
      <c r="J327" s="2">
        <v>70.06</v>
      </c>
      <c r="K327" s="2">
        <v>0</v>
      </c>
      <c r="L327" s="2">
        <v>1401.26</v>
      </c>
    </row>
    <row r="328" spans="1:12" ht="15" customHeight="1" x14ac:dyDescent="0.3">
      <c r="A328" s="2">
        <v>100327</v>
      </c>
      <c r="B328" s="2" t="s">
        <v>737</v>
      </c>
      <c r="C328" s="2" t="s">
        <v>738</v>
      </c>
      <c r="D328" s="2" t="s">
        <v>209</v>
      </c>
      <c r="E328" s="2" t="s">
        <v>48</v>
      </c>
      <c r="F328" s="2" t="s">
        <v>298</v>
      </c>
      <c r="G328" s="2" t="s">
        <v>200</v>
      </c>
      <c r="H328" s="2">
        <v>2</v>
      </c>
      <c r="I328" s="2">
        <v>183.18</v>
      </c>
      <c r="J328" s="2">
        <v>87.93</v>
      </c>
      <c r="K328" s="2">
        <v>0.15</v>
      </c>
      <c r="L328" s="2">
        <v>311.41000000000003</v>
      </c>
    </row>
    <row r="329" spans="1:12" ht="15" customHeight="1" x14ac:dyDescent="0.3">
      <c r="A329" s="2">
        <v>100328</v>
      </c>
      <c r="B329" s="2" t="s">
        <v>290</v>
      </c>
      <c r="C329" s="2" t="s">
        <v>585</v>
      </c>
      <c r="D329" s="2" t="s">
        <v>59</v>
      </c>
      <c r="E329" s="2" t="s">
        <v>181</v>
      </c>
      <c r="F329" s="2" t="s">
        <v>325</v>
      </c>
      <c r="G329" s="2" t="s">
        <v>338</v>
      </c>
      <c r="H329" s="2">
        <v>5</v>
      </c>
      <c r="I329" s="2">
        <v>144.72999999999999</v>
      </c>
      <c r="J329" s="2">
        <v>65.13</v>
      </c>
      <c r="K329" s="2">
        <v>0.1</v>
      </c>
      <c r="L329" s="2">
        <v>651.29</v>
      </c>
    </row>
    <row r="330" spans="1:12" ht="15" customHeight="1" x14ac:dyDescent="0.3">
      <c r="A330" s="2">
        <v>100329</v>
      </c>
      <c r="B330" s="2" t="s">
        <v>739</v>
      </c>
      <c r="C330" s="2" t="s">
        <v>740</v>
      </c>
      <c r="D330" s="2" t="s">
        <v>59</v>
      </c>
      <c r="E330" s="2" t="s">
        <v>232</v>
      </c>
      <c r="F330" s="2" t="s">
        <v>546</v>
      </c>
      <c r="G330" s="2" t="s">
        <v>322</v>
      </c>
      <c r="H330" s="2">
        <v>1</v>
      </c>
      <c r="I330" s="2">
        <v>464.12</v>
      </c>
      <c r="J330" s="2">
        <v>232.06</v>
      </c>
      <c r="K330" s="2">
        <v>0.1</v>
      </c>
      <c r="L330" s="2">
        <v>417.7</v>
      </c>
    </row>
    <row r="331" spans="1:12" ht="15" customHeight="1" x14ac:dyDescent="0.3">
      <c r="A331" s="2">
        <v>100330</v>
      </c>
      <c r="B331" s="2" t="s">
        <v>741</v>
      </c>
      <c r="C331" s="2" t="s">
        <v>742</v>
      </c>
      <c r="D331" s="2" t="s">
        <v>73</v>
      </c>
      <c r="E331" s="2" t="s">
        <v>181</v>
      </c>
      <c r="F331" s="2" t="s">
        <v>546</v>
      </c>
      <c r="G331" s="2" t="s">
        <v>322</v>
      </c>
      <c r="H331" s="2">
        <v>4</v>
      </c>
      <c r="I331" s="2">
        <v>500.48</v>
      </c>
      <c r="J331" s="2">
        <v>250.24</v>
      </c>
      <c r="K331" s="2">
        <v>0.15</v>
      </c>
      <c r="L331" s="2">
        <v>1701.65</v>
      </c>
    </row>
    <row r="332" spans="1:12" ht="15" customHeight="1" x14ac:dyDescent="0.3">
      <c r="A332" s="2">
        <v>100331</v>
      </c>
      <c r="B332" s="2" t="s">
        <v>543</v>
      </c>
      <c r="C332" s="2" t="s">
        <v>743</v>
      </c>
      <c r="D332" s="2" t="s">
        <v>92</v>
      </c>
      <c r="E332" s="2" t="s">
        <v>148</v>
      </c>
      <c r="F332" s="2" t="s">
        <v>334</v>
      </c>
      <c r="G332" s="2" t="s">
        <v>82</v>
      </c>
      <c r="H332" s="2">
        <v>3</v>
      </c>
      <c r="I332" s="2">
        <v>2973.44</v>
      </c>
      <c r="J332" s="2">
        <v>1486.72</v>
      </c>
      <c r="K332" s="2">
        <v>0.1</v>
      </c>
      <c r="L332" s="2">
        <v>8028.29</v>
      </c>
    </row>
    <row r="333" spans="1:12" ht="15" customHeight="1" x14ac:dyDescent="0.3">
      <c r="A333" s="2">
        <v>100332</v>
      </c>
      <c r="B333" s="2" t="s">
        <v>744</v>
      </c>
      <c r="C333" s="2" t="s">
        <v>745</v>
      </c>
      <c r="D333" s="2" t="s">
        <v>160</v>
      </c>
      <c r="E333" s="2" t="s">
        <v>128</v>
      </c>
      <c r="F333" s="2" t="s">
        <v>295</v>
      </c>
      <c r="G333" s="2" t="s">
        <v>229</v>
      </c>
      <c r="H333" s="2">
        <v>8</v>
      </c>
      <c r="I333" s="2">
        <v>14839.29</v>
      </c>
      <c r="J333" s="2">
        <v>8903.58</v>
      </c>
      <c r="K333" s="2">
        <v>0.05</v>
      </c>
      <c r="L333" s="2">
        <v>112778.64</v>
      </c>
    </row>
    <row r="334" spans="1:12" ht="15" customHeight="1" x14ac:dyDescent="0.3">
      <c r="A334" s="2">
        <v>100333</v>
      </c>
      <c r="B334" s="2" t="s">
        <v>746</v>
      </c>
      <c r="C334" s="2" t="s">
        <v>747</v>
      </c>
      <c r="D334" s="2" t="s">
        <v>26</v>
      </c>
      <c r="E334" s="2" t="s">
        <v>54</v>
      </c>
      <c r="F334" s="2" t="s">
        <v>463</v>
      </c>
      <c r="G334" s="2" t="s">
        <v>142</v>
      </c>
      <c r="H334" s="2">
        <v>10</v>
      </c>
      <c r="I334" s="2">
        <v>1472.52</v>
      </c>
      <c r="J334" s="2">
        <v>736.26</v>
      </c>
      <c r="K334" s="2">
        <v>0</v>
      </c>
      <c r="L334" s="2">
        <v>14725.2</v>
      </c>
    </row>
    <row r="335" spans="1:12" ht="15" customHeight="1" x14ac:dyDescent="0.3">
      <c r="A335" s="2">
        <v>100334</v>
      </c>
      <c r="B335" s="2" t="s">
        <v>748</v>
      </c>
      <c r="C335" s="2" t="s">
        <v>749</v>
      </c>
      <c r="D335" s="2" t="s">
        <v>47</v>
      </c>
      <c r="E335" s="2" t="s">
        <v>103</v>
      </c>
      <c r="F335" s="2" t="s">
        <v>724</v>
      </c>
      <c r="G335" s="2" t="s">
        <v>67</v>
      </c>
      <c r="H335" s="2">
        <v>12</v>
      </c>
      <c r="I335" s="2">
        <v>7274.98</v>
      </c>
      <c r="J335" s="2">
        <v>4510.4799999999996</v>
      </c>
      <c r="K335" s="2">
        <v>0.1</v>
      </c>
      <c r="L335" s="2">
        <v>78569.740000000005</v>
      </c>
    </row>
    <row r="336" spans="1:12" ht="15" customHeight="1" x14ac:dyDescent="0.3">
      <c r="A336" s="2">
        <v>100335</v>
      </c>
      <c r="B336" s="2" t="s">
        <v>750</v>
      </c>
      <c r="C336" s="2" t="s">
        <v>751</v>
      </c>
      <c r="D336" s="2" t="s">
        <v>155</v>
      </c>
      <c r="E336" s="2" t="s">
        <v>181</v>
      </c>
      <c r="F336" s="2" t="s">
        <v>409</v>
      </c>
      <c r="G336" s="2" t="s">
        <v>200</v>
      </c>
      <c r="H336" s="2">
        <v>2</v>
      </c>
      <c r="I336" s="2">
        <v>176.09</v>
      </c>
      <c r="J336" s="2">
        <v>84.52</v>
      </c>
      <c r="K336" s="2">
        <v>0</v>
      </c>
      <c r="L336" s="2">
        <v>352.18</v>
      </c>
    </row>
    <row r="337" spans="1:12" ht="15" customHeight="1" x14ac:dyDescent="0.3">
      <c r="A337" s="2">
        <v>100336</v>
      </c>
      <c r="B337" s="2" t="s">
        <v>752</v>
      </c>
      <c r="C337" s="2" t="s">
        <v>107</v>
      </c>
      <c r="D337" s="2" t="s">
        <v>79</v>
      </c>
      <c r="E337" s="2" t="s">
        <v>48</v>
      </c>
      <c r="F337" s="2" t="s">
        <v>60</v>
      </c>
      <c r="G337" s="2" t="s">
        <v>322</v>
      </c>
      <c r="H337" s="2">
        <v>12</v>
      </c>
      <c r="I337" s="2">
        <v>517.30999999999995</v>
      </c>
      <c r="J337" s="2">
        <v>258.66000000000003</v>
      </c>
      <c r="K337" s="2">
        <v>0.05</v>
      </c>
      <c r="L337" s="2">
        <v>5897.37</v>
      </c>
    </row>
    <row r="338" spans="1:12" ht="15" customHeight="1" x14ac:dyDescent="0.3">
      <c r="A338" s="2">
        <v>100337</v>
      </c>
      <c r="B338" s="2" t="s">
        <v>651</v>
      </c>
      <c r="C338" s="2" t="s">
        <v>753</v>
      </c>
      <c r="D338" s="2" t="s">
        <v>32</v>
      </c>
      <c r="E338" s="2" t="s">
        <v>128</v>
      </c>
      <c r="F338" s="2" t="s">
        <v>578</v>
      </c>
      <c r="G338" s="2" t="s">
        <v>23</v>
      </c>
      <c r="H338" s="2">
        <v>4</v>
      </c>
      <c r="I338" s="2">
        <v>9558.17</v>
      </c>
      <c r="J338" s="2">
        <v>5926.06</v>
      </c>
      <c r="K338" s="2">
        <v>0.1</v>
      </c>
      <c r="L338" s="2">
        <v>34409.410000000003</v>
      </c>
    </row>
    <row r="339" spans="1:12" ht="15" customHeight="1" x14ac:dyDescent="0.3">
      <c r="A339" s="2">
        <v>100338</v>
      </c>
      <c r="B339" s="2" t="s">
        <v>754</v>
      </c>
      <c r="C339" s="2" t="s">
        <v>755</v>
      </c>
      <c r="D339" s="2" t="s">
        <v>32</v>
      </c>
      <c r="E339" s="2" t="s">
        <v>54</v>
      </c>
      <c r="F339" s="2" t="s">
        <v>153</v>
      </c>
      <c r="G339" s="2" t="s">
        <v>138</v>
      </c>
      <c r="H339" s="2">
        <v>11</v>
      </c>
      <c r="I339" s="2">
        <v>2125.91</v>
      </c>
      <c r="J339" s="2">
        <v>1062.95</v>
      </c>
      <c r="K339" s="2">
        <v>0</v>
      </c>
      <c r="L339" s="2">
        <v>23384.98</v>
      </c>
    </row>
    <row r="340" spans="1:12" ht="15" customHeight="1" x14ac:dyDescent="0.3">
      <c r="A340" s="2">
        <v>100339</v>
      </c>
      <c r="B340" s="2" t="s">
        <v>756</v>
      </c>
      <c r="C340" s="2" t="s">
        <v>757</v>
      </c>
      <c r="D340" s="2" t="s">
        <v>92</v>
      </c>
      <c r="E340" s="2" t="s">
        <v>27</v>
      </c>
      <c r="F340" s="2" t="s">
        <v>223</v>
      </c>
      <c r="G340" s="2" t="s">
        <v>29</v>
      </c>
      <c r="H340" s="2">
        <v>9</v>
      </c>
      <c r="I340" s="2">
        <v>4966.0600000000004</v>
      </c>
      <c r="J340" s="2">
        <v>3128.62</v>
      </c>
      <c r="K340" s="2"/>
      <c r="L340" s="2">
        <v>40225.120000000003</v>
      </c>
    </row>
    <row r="341" spans="1:12" ht="15" customHeight="1" x14ac:dyDescent="0.3">
      <c r="A341" s="2">
        <v>100340</v>
      </c>
      <c r="B341" s="2" t="s">
        <v>77</v>
      </c>
      <c r="C341" s="2" t="s">
        <v>758</v>
      </c>
      <c r="D341" s="2" t="s">
        <v>102</v>
      </c>
      <c r="E341" s="2" t="s">
        <v>128</v>
      </c>
      <c r="F341" s="2" t="s">
        <v>418</v>
      </c>
      <c r="G341" s="2" t="s">
        <v>343</v>
      </c>
      <c r="H341" s="2">
        <v>8</v>
      </c>
      <c r="I341" s="2">
        <v>39582.120000000003</v>
      </c>
      <c r="J341" s="2">
        <v>26915.84</v>
      </c>
      <c r="K341" s="2">
        <v>0</v>
      </c>
      <c r="L341" s="2">
        <v>316656.96000000002</v>
      </c>
    </row>
    <row r="342" spans="1:12" ht="15" customHeight="1" x14ac:dyDescent="0.3">
      <c r="A342" s="2">
        <v>100341</v>
      </c>
      <c r="B342" s="2" t="s">
        <v>759</v>
      </c>
      <c r="C342" s="2" t="s">
        <v>760</v>
      </c>
      <c r="D342" s="2" t="s">
        <v>59</v>
      </c>
      <c r="E342" s="2" t="s">
        <v>103</v>
      </c>
      <c r="F342" s="2" t="s">
        <v>28</v>
      </c>
      <c r="G342" s="2" t="s">
        <v>70</v>
      </c>
      <c r="H342" s="2">
        <v>11</v>
      </c>
      <c r="I342" s="2">
        <v>5781.32</v>
      </c>
      <c r="J342" s="2">
        <v>3468.79</v>
      </c>
      <c r="K342" s="2">
        <v>0.2</v>
      </c>
      <c r="L342" s="2"/>
    </row>
    <row r="343" spans="1:12" ht="15" customHeight="1" x14ac:dyDescent="0.3">
      <c r="A343" s="2">
        <v>100342</v>
      </c>
      <c r="B343" s="2" t="s">
        <v>761</v>
      </c>
      <c r="C343" s="2" t="s">
        <v>762</v>
      </c>
      <c r="D343" s="2" t="s">
        <v>79</v>
      </c>
      <c r="E343" s="2" t="s">
        <v>124</v>
      </c>
      <c r="F343" s="2" t="s">
        <v>60</v>
      </c>
      <c r="G343" s="2" t="s">
        <v>61</v>
      </c>
      <c r="H343" s="2">
        <v>1</v>
      </c>
      <c r="I343" s="2">
        <v>228.88</v>
      </c>
      <c r="J343" s="2">
        <v>114.44</v>
      </c>
      <c r="K343" s="2">
        <v>0.1</v>
      </c>
      <c r="L343" s="2">
        <v>205.99</v>
      </c>
    </row>
    <row r="344" spans="1:12" ht="15" customHeight="1" x14ac:dyDescent="0.3">
      <c r="A344" s="2">
        <v>100343</v>
      </c>
      <c r="B344" s="2" t="s">
        <v>763</v>
      </c>
      <c r="C344" s="2" t="s">
        <v>764</v>
      </c>
      <c r="D344" s="2" t="s">
        <v>160</v>
      </c>
      <c r="E344" s="2" t="s">
        <v>128</v>
      </c>
      <c r="F344" s="2" t="s">
        <v>132</v>
      </c>
      <c r="G344" s="2" t="s">
        <v>193</v>
      </c>
      <c r="H344" s="2">
        <v>2</v>
      </c>
      <c r="I344" s="2">
        <v>3394.2</v>
      </c>
      <c r="J344" s="2">
        <v>1697.1</v>
      </c>
      <c r="K344" s="2"/>
      <c r="L344" s="2">
        <v>6448.98</v>
      </c>
    </row>
    <row r="345" spans="1:12" ht="15" customHeight="1" x14ac:dyDescent="0.3">
      <c r="A345" s="2">
        <v>100344</v>
      </c>
      <c r="B345" s="2" t="s">
        <v>665</v>
      </c>
      <c r="C345" s="2" t="s">
        <v>765</v>
      </c>
      <c r="D345" s="2" t="s">
        <v>121</v>
      </c>
      <c r="E345" s="2" t="s">
        <v>124</v>
      </c>
      <c r="F345" s="2" t="s">
        <v>325</v>
      </c>
      <c r="G345" s="2" t="s">
        <v>50</v>
      </c>
      <c r="H345" s="2">
        <v>3</v>
      </c>
      <c r="I345" s="2">
        <v>126.47</v>
      </c>
      <c r="J345" s="2">
        <v>56.91</v>
      </c>
      <c r="K345" s="2">
        <v>0.2</v>
      </c>
      <c r="L345" s="2">
        <v>303.52999999999997</v>
      </c>
    </row>
    <row r="346" spans="1:12" ht="15" customHeight="1" x14ac:dyDescent="0.3">
      <c r="A346" s="2">
        <v>100345</v>
      </c>
      <c r="B346" s="2" t="s">
        <v>614</v>
      </c>
      <c r="C346" s="2" t="s">
        <v>766</v>
      </c>
      <c r="D346" s="2" t="s">
        <v>92</v>
      </c>
      <c r="E346" s="2" t="s">
        <v>65</v>
      </c>
      <c r="F346" s="2" t="s">
        <v>535</v>
      </c>
      <c r="G346" s="2" t="s">
        <v>277</v>
      </c>
      <c r="H346" s="2">
        <v>12</v>
      </c>
      <c r="I346" s="2">
        <v>4343.7</v>
      </c>
      <c r="J346" s="2">
        <v>2823.4</v>
      </c>
      <c r="K346" s="2">
        <v>0</v>
      </c>
      <c r="L346" s="2">
        <v>52124.36</v>
      </c>
    </row>
    <row r="347" spans="1:12" ht="15" customHeight="1" x14ac:dyDescent="0.3">
      <c r="A347" s="2">
        <v>100346</v>
      </c>
      <c r="B347" s="2" t="s">
        <v>543</v>
      </c>
      <c r="C347" s="2" t="s">
        <v>767</v>
      </c>
      <c r="D347" s="2" t="s">
        <v>92</v>
      </c>
      <c r="E347" s="2" t="s">
        <v>210</v>
      </c>
      <c r="F347" s="2" t="s">
        <v>484</v>
      </c>
      <c r="G347" s="2" t="s">
        <v>150</v>
      </c>
      <c r="H347" s="2">
        <v>9</v>
      </c>
      <c r="I347" s="2">
        <v>2019.96</v>
      </c>
      <c r="J347" s="2">
        <v>1009.98</v>
      </c>
      <c r="K347" s="2">
        <v>0</v>
      </c>
      <c r="L347" s="2">
        <v>18179.63</v>
      </c>
    </row>
    <row r="348" spans="1:12" ht="15" customHeight="1" x14ac:dyDescent="0.3">
      <c r="A348" s="2">
        <v>100347</v>
      </c>
      <c r="B348" s="2" t="s">
        <v>768</v>
      </c>
      <c r="C348" s="2" t="s">
        <v>769</v>
      </c>
      <c r="D348" s="2" t="s">
        <v>26</v>
      </c>
      <c r="E348" s="2" t="s">
        <v>232</v>
      </c>
      <c r="F348" s="2" t="s">
        <v>60</v>
      </c>
      <c r="G348" s="2" t="s">
        <v>322</v>
      </c>
      <c r="H348" s="2">
        <v>5</v>
      </c>
      <c r="I348" s="2">
        <v>506.06</v>
      </c>
      <c r="J348" s="2">
        <v>253.03</v>
      </c>
      <c r="K348" s="2">
        <v>0.05</v>
      </c>
      <c r="L348" s="2">
        <v>2403.81</v>
      </c>
    </row>
    <row r="349" spans="1:12" ht="15" customHeight="1" x14ac:dyDescent="0.3">
      <c r="A349" s="2">
        <v>100348</v>
      </c>
      <c r="B349" s="2" t="s">
        <v>770</v>
      </c>
      <c r="C349" s="2" t="s">
        <v>771</v>
      </c>
      <c r="D349" s="2" t="s">
        <v>38</v>
      </c>
      <c r="E349" s="2" t="s">
        <v>21</v>
      </c>
      <c r="F349" s="2" t="s">
        <v>418</v>
      </c>
      <c r="G349" s="2" t="s">
        <v>90</v>
      </c>
      <c r="H349" s="2">
        <v>7</v>
      </c>
      <c r="I349" s="2">
        <v>43321.54</v>
      </c>
      <c r="J349" s="2">
        <v>28159</v>
      </c>
      <c r="K349" s="2">
        <v>0</v>
      </c>
      <c r="L349" s="2"/>
    </row>
    <row r="350" spans="1:12" ht="15" customHeight="1" x14ac:dyDescent="0.3">
      <c r="A350" s="2">
        <v>100349</v>
      </c>
      <c r="B350" s="2" t="s">
        <v>772</v>
      </c>
      <c r="C350" s="2" t="s">
        <v>773</v>
      </c>
      <c r="D350" s="2" t="s">
        <v>121</v>
      </c>
      <c r="E350" s="2" t="s">
        <v>33</v>
      </c>
      <c r="F350" s="2" t="s">
        <v>418</v>
      </c>
      <c r="G350" s="2" t="s">
        <v>90</v>
      </c>
      <c r="H350" s="2">
        <v>10</v>
      </c>
      <c r="I350" s="2">
        <v>43509.96</v>
      </c>
      <c r="J350" s="2">
        <v>28281.47</v>
      </c>
      <c r="K350" s="2">
        <v>0.15</v>
      </c>
      <c r="L350" s="2">
        <v>369834.64</v>
      </c>
    </row>
    <row r="351" spans="1:12" ht="15" customHeight="1" x14ac:dyDescent="0.3">
      <c r="A351" s="2">
        <v>100350</v>
      </c>
      <c r="B351" s="2" t="s">
        <v>774</v>
      </c>
      <c r="C351" s="2" t="s">
        <v>775</v>
      </c>
      <c r="D351" s="2" t="s">
        <v>32</v>
      </c>
      <c r="E351" s="2" t="s">
        <v>54</v>
      </c>
      <c r="F351" s="2" t="s">
        <v>149</v>
      </c>
      <c r="G351" s="2" t="s">
        <v>264</v>
      </c>
      <c r="H351" s="2">
        <v>3</v>
      </c>
      <c r="I351" s="2">
        <v>2733.89</v>
      </c>
      <c r="J351" s="2">
        <v>1312.27</v>
      </c>
      <c r="K351" s="2">
        <v>0.05</v>
      </c>
      <c r="L351" s="2">
        <v>7791.58</v>
      </c>
    </row>
    <row r="352" spans="1:12" ht="15" customHeight="1" x14ac:dyDescent="0.3">
      <c r="A352" s="2">
        <v>100351</v>
      </c>
      <c r="B352" s="2" t="s">
        <v>776</v>
      </c>
      <c r="C352" s="2" t="s">
        <v>777</v>
      </c>
      <c r="D352" s="2" t="s">
        <v>160</v>
      </c>
      <c r="E352" s="2" t="s">
        <v>27</v>
      </c>
      <c r="F352" s="2" t="s">
        <v>28</v>
      </c>
      <c r="G352" s="2" t="s">
        <v>70</v>
      </c>
      <c r="H352" s="2">
        <v>3</v>
      </c>
      <c r="I352" s="2">
        <v>5713.58</v>
      </c>
      <c r="J352" s="2">
        <v>3428.15</v>
      </c>
      <c r="K352" s="2">
        <v>0.1</v>
      </c>
      <c r="L352" s="2">
        <v>15426.67</v>
      </c>
    </row>
    <row r="353" spans="1:12" ht="15" customHeight="1" x14ac:dyDescent="0.3">
      <c r="A353" s="2">
        <v>100352</v>
      </c>
      <c r="B353" s="2" t="s">
        <v>778</v>
      </c>
      <c r="C353" s="2" t="s">
        <v>779</v>
      </c>
      <c r="D353" s="2" t="s">
        <v>26</v>
      </c>
      <c r="E353" s="2" t="s">
        <v>65</v>
      </c>
      <c r="F353" s="2" t="s">
        <v>66</v>
      </c>
      <c r="G353" s="2" t="s">
        <v>570</v>
      </c>
      <c r="H353" s="2">
        <v>11</v>
      </c>
      <c r="I353" s="2">
        <v>8506.48</v>
      </c>
      <c r="J353" s="2">
        <v>5103.8900000000003</v>
      </c>
      <c r="K353" s="2">
        <v>0</v>
      </c>
      <c r="L353" s="2">
        <v>93571.33</v>
      </c>
    </row>
    <row r="354" spans="1:12" ht="15" customHeight="1" x14ac:dyDescent="0.3">
      <c r="A354" s="2">
        <v>100353</v>
      </c>
      <c r="B354" s="2" t="s">
        <v>748</v>
      </c>
      <c r="C354" s="2" t="s">
        <v>780</v>
      </c>
      <c r="D354" s="2" t="s">
        <v>38</v>
      </c>
      <c r="E354" s="2" t="s">
        <v>103</v>
      </c>
      <c r="F354" s="2" t="s">
        <v>66</v>
      </c>
      <c r="G354" s="2" t="s">
        <v>41</v>
      </c>
      <c r="H354" s="2">
        <v>12</v>
      </c>
      <c r="I354" s="2">
        <v>5492.95</v>
      </c>
      <c r="J354" s="2">
        <v>3570.42</v>
      </c>
      <c r="K354" s="2">
        <v>0.1</v>
      </c>
      <c r="L354" s="2">
        <v>59323.88</v>
      </c>
    </row>
    <row r="355" spans="1:12" ht="15" customHeight="1" x14ac:dyDescent="0.3">
      <c r="A355" s="2">
        <v>100354</v>
      </c>
      <c r="B355" s="2" t="s">
        <v>236</v>
      </c>
      <c r="C355" s="2" t="s">
        <v>781</v>
      </c>
      <c r="D355" s="2" t="s">
        <v>38</v>
      </c>
      <c r="E355" s="2" t="s">
        <v>210</v>
      </c>
      <c r="F355" s="2" t="s">
        <v>484</v>
      </c>
      <c r="G355" s="2" t="s">
        <v>150</v>
      </c>
      <c r="H355" s="2">
        <v>3</v>
      </c>
      <c r="I355" s="2">
        <v>1941.96</v>
      </c>
      <c r="J355" s="2">
        <v>970.98</v>
      </c>
      <c r="K355" s="2">
        <v>0.1</v>
      </c>
      <c r="L355" s="2">
        <v>5243.28</v>
      </c>
    </row>
    <row r="356" spans="1:12" ht="15" customHeight="1" x14ac:dyDescent="0.3">
      <c r="A356" s="2">
        <v>100355</v>
      </c>
      <c r="B356" s="2" t="s">
        <v>746</v>
      </c>
      <c r="C356" s="2" t="s">
        <v>782</v>
      </c>
      <c r="D356" s="2" t="s">
        <v>121</v>
      </c>
      <c r="E356" s="2" t="s">
        <v>85</v>
      </c>
      <c r="F356" s="2" t="s">
        <v>109</v>
      </c>
      <c r="G356" s="2" t="s">
        <v>76</v>
      </c>
      <c r="H356" s="2">
        <v>12</v>
      </c>
      <c r="I356" s="2">
        <v>2698.82</v>
      </c>
      <c r="J356" s="2">
        <v>1484.35</v>
      </c>
      <c r="K356" s="2">
        <v>0</v>
      </c>
      <c r="L356" s="2">
        <v>32385.9</v>
      </c>
    </row>
    <row r="357" spans="1:12" ht="15" customHeight="1" x14ac:dyDescent="0.3">
      <c r="A357" s="2">
        <v>100356</v>
      </c>
      <c r="B357" s="2" t="s">
        <v>783</v>
      </c>
      <c r="C357" s="2" t="s">
        <v>584</v>
      </c>
      <c r="D357" s="2" t="s">
        <v>32</v>
      </c>
      <c r="E357" s="2" t="s">
        <v>128</v>
      </c>
      <c r="F357" s="2" t="s">
        <v>165</v>
      </c>
      <c r="G357" s="2" t="s">
        <v>166</v>
      </c>
      <c r="H357" s="2">
        <v>1</v>
      </c>
      <c r="I357" s="2">
        <v>21057.040000000001</v>
      </c>
      <c r="J357" s="2">
        <v>12213.08</v>
      </c>
      <c r="K357" s="2">
        <v>0</v>
      </c>
      <c r="L357" s="2">
        <v>21057.040000000001</v>
      </c>
    </row>
    <row r="358" spans="1:12" ht="15" customHeight="1" x14ac:dyDescent="0.3">
      <c r="A358" s="2">
        <v>100357</v>
      </c>
      <c r="B358" s="2" t="s">
        <v>784</v>
      </c>
      <c r="C358" s="2" t="s">
        <v>785</v>
      </c>
      <c r="D358" s="2" t="s">
        <v>92</v>
      </c>
      <c r="E358" s="2" t="s">
        <v>128</v>
      </c>
      <c r="F358" s="2" t="s">
        <v>75</v>
      </c>
      <c r="G358" s="2" t="s">
        <v>193</v>
      </c>
      <c r="H358" s="2">
        <v>11</v>
      </c>
      <c r="I358" s="2">
        <v>3094.3</v>
      </c>
      <c r="J358" s="2">
        <v>1547.15</v>
      </c>
      <c r="K358" s="2">
        <v>0</v>
      </c>
      <c r="L358" s="2">
        <v>34037.339999999997</v>
      </c>
    </row>
    <row r="359" spans="1:12" ht="15" customHeight="1" x14ac:dyDescent="0.3">
      <c r="A359" s="2">
        <v>100358</v>
      </c>
      <c r="B359" s="2" t="s">
        <v>786</v>
      </c>
      <c r="C359" s="2" t="s">
        <v>787</v>
      </c>
      <c r="D359" s="2" t="s">
        <v>44</v>
      </c>
      <c r="E359" s="2" t="s">
        <v>128</v>
      </c>
      <c r="F359" s="2" t="s">
        <v>109</v>
      </c>
      <c r="G359" s="2" t="s">
        <v>110</v>
      </c>
      <c r="H359" s="2">
        <v>6</v>
      </c>
      <c r="I359" s="2">
        <v>1266.5999999999999</v>
      </c>
      <c r="J359" s="2">
        <v>759.96</v>
      </c>
      <c r="K359" s="2">
        <v>0.15</v>
      </c>
      <c r="L359" s="2">
        <v>6459.65</v>
      </c>
    </row>
    <row r="360" spans="1:12" ht="15" customHeight="1" x14ac:dyDescent="0.3">
      <c r="A360" s="2">
        <v>100359</v>
      </c>
      <c r="B360" s="2" t="s">
        <v>788</v>
      </c>
      <c r="C360" s="2" t="s">
        <v>509</v>
      </c>
      <c r="D360" s="2" t="s">
        <v>20</v>
      </c>
      <c r="E360" s="2" t="s">
        <v>85</v>
      </c>
      <c r="F360" s="2" t="s">
        <v>129</v>
      </c>
      <c r="G360" s="2" t="s">
        <v>23</v>
      </c>
      <c r="H360" s="2">
        <v>7</v>
      </c>
      <c r="I360" s="2">
        <v>9232.5400000000009</v>
      </c>
      <c r="J360" s="2">
        <v>5724.18</v>
      </c>
      <c r="K360" s="2"/>
      <c r="L360" s="2">
        <v>61396.41</v>
      </c>
    </row>
    <row r="361" spans="1:12" ht="15" customHeight="1" x14ac:dyDescent="0.3">
      <c r="A361" s="2">
        <v>100360</v>
      </c>
      <c r="B361" s="2" t="s">
        <v>768</v>
      </c>
      <c r="C361" s="2" t="s">
        <v>789</v>
      </c>
      <c r="D361" s="2" t="s">
        <v>160</v>
      </c>
      <c r="E361" s="2" t="s">
        <v>74</v>
      </c>
      <c r="F361" s="2" t="s">
        <v>418</v>
      </c>
      <c r="G361" s="2" t="s">
        <v>90</v>
      </c>
      <c r="H361" s="2">
        <v>3</v>
      </c>
      <c r="I361" s="2">
        <v>48167.9</v>
      </c>
      <c r="J361" s="2">
        <v>31309.14</v>
      </c>
      <c r="K361" s="2">
        <v>0.15</v>
      </c>
      <c r="L361" s="2">
        <v>122828.15</v>
      </c>
    </row>
    <row r="362" spans="1:12" ht="15" customHeight="1" x14ac:dyDescent="0.3">
      <c r="A362" s="2">
        <v>100361</v>
      </c>
      <c r="B362" s="2" t="s">
        <v>790</v>
      </c>
      <c r="C362" s="2" t="s">
        <v>791</v>
      </c>
      <c r="D362" s="2" t="s">
        <v>20</v>
      </c>
      <c r="E362" s="2" t="s">
        <v>65</v>
      </c>
      <c r="F362" s="2" t="s">
        <v>223</v>
      </c>
      <c r="G362" s="2" t="s">
        <v>70</v>
      </c>
      <c r="H362" s="2">
        <v>11</v>
      </c>
      <c r="I362" s="2">
        <v>5921.68</v>
      </c>
      <c r="J362" s="2">
        <v>3553.01</v>
      </c>
      <c r="K362" s="2">
        <v>0.05</v>
      </c>
      <c r="L362" s="2">
        <v>61881.56</v>
      </c>
    </row>
    <row r="363" spans="1:12" ht="15" customHeight="1" x14ac:dyDescent="0.3">
      <c r="A363" s="2">
        <v>100362</v>
      </c>
      <c r="B363" s="2" t="s">
        <v>792</v>
      </c>
      <c r="C363" s="2" t="s">
        <v>793</v>
      </c>
      <c r="D363" s="2" t="s">
        <v>47</v>
      </c>
      <c r="E363" s="2" t="s">
        <v>137</v>
      </c>
      <c r="F363" s="2" t="s">
        <v>178</v>
      </c>
      <c r="G363" s="2" t="s">
        <v>138</v>
      </c>
      <c r="H363" s="2">
        <v>1</v>
      </c>
      <c r="I363" s="2">
        <v>2145.4</v>
      </c>
      <c r="J363" s="2">
        <v>1072.7</v>
      </c>
      <c r="K363" s="2">
        <v>0.2</v>
      </c>
      <c r="L363" s="2">
        <v>1716.32</v>
      </c>
    </row>
    <row r="364" spans="1:12" ht="15" customHeight="1" x14ac:dyDescent="0.3">
      <c r="A364" s="2">
        <v>100363</v>
      </c>
      <c r="B364" s="2" t="s">
        <v>794</v>
      </c>
      <c r="C364" s="2" t="s">
        <v>795</v>
      </c>
      <c r="D364" s="2" t="s">
        <v>160</v>
      </c>
      <c r="E364" s="2" t="s">
        <v>74</v>
      </c>
      <c r="F364" s="2" t="s">
        <v>226</v>
      </c>
      <c r="G364" s="2" t="s">
        <v>343</v>
      </c>
      <c r="H364" s="2">
        <v>1</v>
      </c>
      <c r="I364" s="2">
        <v>40668.82</v>
      </c>
      <c r="J364" s="2">
        <v>27654.79</v>
      </c>
      <c r="K364" s="2">
        <v>0</v>
      </c>
      <c r="L364" s="2">
        <v>40668.82</v>
      </c>
    </row>
    <row r="365" spans="1:12" ht="15" customHeight="1" x14ac:dyDescent="0.3">
      <c r="A365" s="2">
        <v>100364</v>
      </c>
      <c r="B365" s="2" t="s">
        <v>796</v>
      </c>
      <c r="C365" s="2" t="s">
        <v>797</v>
      </c>
      <c r="D365" s="2" t="s">
        <v>79</v>
      </c>
      <c r="E365" s="2" t="s">
        <v>93</v>
      </c>
      <c r="F365" s="2" t="s">
        <v>724</v>
      </c>
      <c r="G365" s="2" t="s">
        <v>41</v>
      </c>
      <c r="H365" s="2">
        <v>4</v>
      </c>
      <c r="I365" s="2">
        <v>5006.29</v>
      </c>
      <c r="J365" s="2">
        <v>3254.09</v>
      </c>
      <c r="K365" s="2">
        <v>0.15</v>
      </c>
      <c r="L365" s="2">
        <v>17021.39</v>
      </c>
    </row>
    <row r="366" spans="1:12" ht="15" customHeight="1" x14ac:dyDescent="0.3">
      <c r="A366" s="2">
        <v>100365</v>
      </c>
      <c r="B366" s="2" t="s">
        <v>798</v>
      </c>
      <c r="C366" s="2" t="s">
        <v>799</v>
      </c>
      <c r="D366" s="2" t="s">
        <v>44</v>
      </c>
      <c r="E366" s="2" t="s">
        <v>148</v>
      </c>
      <c r="F366" s="2" t="s">
        <v>246</v>
      </c>
      <c r="G366" s="2" t="s">
        <v>150</v>
      </c>
      <c r="H366" s="2">
        <v>8</v>
      </c>
      <c r="I366" s="2">
        <v>1982.8</v>
      </c>
      <c r="J366" s="2">
        <v>991.4</v>
      </c>
      <c r="K366" s="2"/>
      <c r="L366" s="2">
        <v>13483.01</v>
      </c>
    </row>
    <row r="367" spans="1:12" ht="15" customHeight="1" x14ac:dyDescent="0.3">
      <c r="A367" s="2">
        <v>100366</v>
      </c>
      <c r="B367" s="2" t="s">
        <v>621</v>
      </c>
      <c r="C367" s="2" t="s">
        <v>266</v>
      </c>
      <c r="D367" s="2" t="s">
        <v>102</v>
      </c>
      <c r="E367" s="2" t="s">
        <v>65</v>
      </c>
      <c r="F367" s="2" t="s">
        <v>539</v>
      </c>
      <c r="G367" s="2" t="s">
        <v>116</v>
      </c>
      <c r="H367" s="2">
        <v>11</v>
      </c>
      <c r="I367" s="2">
        <v>3651.12</v>
      </c>
      <c r="J367" s="2">
        <v>2190.67</v>
      </c>
      <c r="K367" s="2">
        <v>0</v>
      </c>
      <c r="L367" s="2">
        <v>40162.32</v>
      </c>
    </row>
    <row r="368" spans="1:12" ht="15" customHeight="1" x14ac:dyDescent="0.3">
      <c r="A368" s="2">
        <v>100367</v>
      </c>
      <c r="B368" s="2" t="s">
        <v>485</v>
      </c>
      <c r="C368" s="2" t="s">
        <v>800</v>
      </c>
      <c r="D368" s="2" t="s">
        <v>73</v>
      </c>
      <c r="E368" s="2" t="s">
        <v>103</v>
      </c>
      <c r="F368" s="2" t="s">
        <v>352</v>
      </c>
      <c r="G368" s="2" t="s">
        <v>95</v>
      </c>
      <c r="H368" s="2">
        <v>7</v>
      </c>
      <c r="I368" s="2">
        <v>10048.24</v>
      </c>
      <c r="J368" s="2">
        <v>5827.98</v>
      </c>
      <c r="K368" s="2"/>
      <c r="L368" s="2">
        <v>63303.92</v>
      </c>
    </row>
    <row r="369" spans="1:12" ht="15" customHeight="1" x14ac:dyDescent="0.3">
      <c r="A369" s="2">
        <v>100368</v>
      </c>
      <c r="B369" s="2" t="s">
        <v>801</v>
      </c>
      <c r="C369" s="2" t="s">
        <v>802</v>
      </c>
      <c r="D369" s="2" t="s">
        <v>38</v>
      </c>
      <c r="E369" s="2" t="s">
        <v>210</v>
      </c>
      <c r="F369" s="2" t="s">
        <v>211</v>
      </c>
      <c r="G369" s="2" t="s">
        <v>142</v>
      </c>
      <c r="H369" s="2">
        <v>2</v>
      </c>
      <c r="I369" s="2">
        <v>1533.9</v>
      </c>
      <c r="J369" s="2">
        <v>766.95</v>
      </c>
      <c r="K369" s="2">
        <v>0</v>
      </c>
      <c r="L369" s="2">
        <v>3067.81</v>
      </c>
    </row>
    <row r="370" spans="1:12" ht="15" customHeight="1" x14ac:dyDescent="0.3">
      <c r="A370" s="2">
        <v>100369</v>
      </c>
      <c r="B370" s="2" t="s">
        <v>238</v>
      </c>
      <c r="C370" s="2" t="s">
        <v>803</v>
      </c>
      <c r="D370" s="2" t="s">
        <v>26</v>
      </c>
      <c r="E370" s="2" t="s">
        <v>33</v>
      </c>
      <c r="F370" s="2" t="s">
        <v>368</v>
      </c>
      <c r="G370" s="2" t="s">
        <v>254</v>
      </c>
      <c r="H370" s="2">
        <v>3</v>
      </c>
      <c r="I370" s="2">
        <v>1010.46</v>
      </c>
      <c r="J370" s="2">
        <v>606.28</v>
      </c>
      <c r="K370" s="2">
        <v>0.1</v>
      </c>
      <c r="L370" s="2"/>
    </row>
    <row r="371" spans="1:12" ht="15" customHeight="1" x14ac:dyDescent="0.3">
      <c r="A371" s="2">
        <v>100370</v>
      </c>
      <c r="B371" s="2" t="s">
        <v>396</v>
      </c>
      <c r="C371" s="2" t="s">
        <v>804</v>
      </c>
      <c r="D371" s="2" t="s">
        <v>108</v>
      </c>
      <c r="E371" s="2" t="s">
        <v>80</v>
      </c>
      <c r="F371" s="2" t="s">
        <v>149</v>
      </c>
      <c r="G371" s="2" t="s">
        <v>150</v>
      </c>
      <c r="H371" s="2">
        <v>11</v>
      </c>
      <c r="I371" s="2">
        <v>1825</v>
      </c>
      <c r="J371" s="2">
        <v>912.5</v>
      </c>
      <c r="K371" s="2">
        <v>0.05</v>
      </c>
      <c r="L371" s="2">
        <v>19071.22</v>
      </c>
    </row>
    <row r="372" spans="1:12" ht="15" customHeight="1" x14ac:dyDescent="0.3">
      <c r="A372" s="2">
        <v>100371</v>
      </c>
      <c r="B372" s="2" t="s">
        <v>805</v>
      </c>
      <c r="C372" s="2" t="s">
        <v>806</v>
      </c>
      <c r="D372" s="2" t="s">
        <v>209</v>
      </c>
      <c r="E372" s="2" t="s">
        <v>93</v>
      </c>
      <c r="F372" s="2" t="s">
        <v>276</v>
      </c>
      <c r="G372" s="2" t="s">
        <v>95</v>
      </c>
      <c r="H372" s="2">
        <v>4</v>
      </c>
      <c r="I372" s="2">
        <v>9997.49</v>
      </c>
      <c r="J372" s="2">
        <v>5798.55</v>
      </c>
      <c r="K372" s="2">
        <v>0.15</v>
      </c>
      <c r="L372" s="2">
        <v>33991.480000000003</v>
      </c>
    </row>
    <row r="373" spans="1:12" ht="15" customHeight="1" x14ac:dyDescent="0.3">
      <c r="A373" s="2">
        <v>100372</v>
      </c>
      <c r="B373" s="2" t="s">
        <v>580</v>
      </c>
      <c r="C373" s="2" t="s">
        <v>807</v>
      </c>
      <c r="D373" s="2" t="s">
        <v>92</v>
      </c>
      <c r="E373" s="2" t="s">
        <v>54</v>
      </c>
      <c r="F373" s="2" t="s">
        <v>196</v>
      </c>
      <c r="G373" s="2" t="s">
        <v>157</v>
      </c>
      <c r="H373" s="2">
        <v>12</v>
      </c>
      <c r="I373" s="2">
        <v>662.45</v>
      </c>
      <c r="J373" s="2">
        <v>298.10000000000002</v>
      </c>
      <c r="K373" s="2">
        <v>0.2</v>
      </c>
      <c r="L373" s="2">
        <v>6359.48</v>
      </c>
    </row>
    <row r="374" spans="1:12" ht="15" customHeight="1" x14ac:dyDescent="0.3">
      <c r="A374" s="2">
        <v>100373</v>
      </c>
      <c r="B374" s="2" t="s">
        <v>705</v>
      </c>
      <c r="C374" s="2" t="s">
        <v>808</v>
      </c>
      <c r="D374" s="2" t="s">
        <v>155</v>
      </c>
      <c r="E374" s="2" t="s">
        <v>74</v>
      </c>
      <c r="F374" s="2" t="s">
        <v>418</v>
      </c>
      <c r="G374" s="2" t="s">
        <v>87</v>
      </c>
      <c r="H374" s="2">
        <v>3</v>
      </c>
      <c r="I374" s="2">
        <v>61224.28</v>
      </c>
      <c r="J374" s="2">
        <v>36734.57</v>
      </c>
      <c r="K374" s="2">
        <v>0</v>
      </c>
      <c r="L374" s="2">
        <v>183672.85</v>
      </c>
    </row>
    <row r="375" spans="1:12" ht="15" customHeight="1" x14ac:dyDescent="0.3">
      <c r="A375" s="2">
        <v>100374</v>
      </c>
      <c r="B375" s="2" t="s">
        <v>602</v>
      </c>
      <c r="C375" s="2" t="s">
        <v>809</v>
      </c>
      <c r="D375" s="2" t="s">
        <v>53</v>
      </c>
      <c r="E375" s="2" t="s">
        <v>210</v>
      </c>
      <c r="F375" s="2" t="s">
        <v>484</v>
      </c>
      <c r="G375" s="2" t="s">
        <v>264</v>
      </c>
      <c r="H375" s="2">
        <v>8</v>
      </c>
      <c r="I375" s="2">
        <v>2719.35</v>
      </c>
      <c r="J375" s="2">
        <v>1305.29</v>
      </c>
      <c r="K375" s="2">
        <v>0</v>
      </c>
      <c r="L375" s="2">
        <v>21754.77</v>
      </c>
    </row>
    <row r="376" spans="1:12" ht="15" customHeight="1" x14ac:dyDescent="0.3">
      <c r="A376" s="2">
        <v>100375</v>
      </c>
      <c r="B376" s="2" t="s">
        <v>380</v>
      </c>
      <c r="C376" s="2" t="s">
        <v>810</v>
      </c>
      <c r="D376" s="2" t="s">
        <v>73</v>
      </c>
      <c r="E376" s="2" t="s">
        <v>80</v>
      </c>
      <c r="F376" s="2" t="s">
        <v>141</v>
      </c>
      <c r="G376" s="2" t="s">
        <v>221</v>
      </c>
      <c r="H376" s="2">
        <v>10</v>
      </c>
      <c r="I376" s="2">
        <v>1740.88</v>
      </c>
      <c r="J376" s="2">
        <v>870.44</v>
      </c>
      <c r="K376" s="2">
        <v>0.2</v>
      </c>
      <c r="L376" s="2">
        <v>13927.02</v>
      </c>
    </row>
    <row r="377" spans="1:12" ht="15" customHeight="1" x14ac:dyDescent="0.3">
      <c r="A377" s="2">
        <v>100376</v>
      </c>
      <c r="B377" s="2" t="s">
        <v>811</v>
      </c>
      <c r="C377" s="2" t="s">
        <v>686</v>
      </c>
      <c r="D377" s="2" t="s">
        <v>47</v>
      </c>
      <c r="E377" s="2" t="s">
        <v>188</v>
      </c>
      <c r="F377" s="2" t="s">
        <v>393</v>
      </c>
      <c r="G377" s="2" t="s">
        <v>338</v>
      </c>
      <c r="H377" s="2">
        <v>12</v>
      </c>
      <c r="I377" s="2">
        <v>156.01</v>
      </c>
      <c r="J377" s="2">
        <v>70.2</v>
      </c>
      <c r="K377" s="2">
        <v>0.15</v>
      </c>
      <c r="L377" s="2">
        <v>1591.31</v>
      </c>
    </row>
    <row r="378" spans="1:12" ht="15" customHeight="1" x14ac:dyDescent="0.3">
      <c r="A378" s="2">
        <v>100377</v>
      </c>
      <c r="B378" s="2" t="s">
        <v>812</v>
      </c>
      <c r="C378" s="2" t="s">
        <v>813</v>
      </c>
      <c r="D378" s="2" t="s">
        <v>102</v>
      </c>
      <c r="E378" s="2" t="s">
        <v>181</v>
      </c>
      <c r="F378" s="2" t="s">
        <v>325</v>
      </c>
      <c r="G378" s="2" t="s">
        <v>50</v>
      </c>
      <c r="H378" s="2">
        <v>8</v>
      </c>
      <c r="I378" s="2">
        <v>122.42</v>
      </c>
      <c r="J378" s="2">
        <v>55.09</v>
      </c>
      <c r="K378" s="2">
        <v>0</v>
      </c>
      <c r="L378" s="2">
        <v>979.38</v>
      </c>
    </row>
    <row r="379" spans="1:12" ht="15" customHeight="1" x14ac:dyDescent="0.3">
      <c r="A379" s="2">
        <v>100378</v>
      </c>
      <c r="B379" s="2" t="s">
        <v>344</v>
      </c>
      <c r="C379" s="2" t="s">
        <v>814</v>
      </c>
      <c r="D379" s="2" t="s">
        <v>102</v>
      </c>
      <c r="E379" s="2" t="s">
        <v>181</v>
      </c>
      <c r="F379" s="2" t="s">
        <v>199</v>
      </c>
      <c r="G379" s="2" t="s">
        <v>183</v>
      </c>
      <c r="H379" s="2">
        <v>10</v>
      </c>
      <c r="I379" s="2">
        <v>217.71</v>
      </c>
      <c r="J379" s="2">
        <v>104.5</v>
      </c>
      <c r="K379" s="2">
        <v>0.2</v>
      </c>
      <c r="L379" s="2">
        <v>1741.65</v>
      </c>
    </row>
    <row r="380" spans="1:12" ht="15" customHeight="1" x14ac:dyDescent="0.3">
      <c r="A380" s="2">
        <v>100379</v>
      </c>
      <c r="B380" s="2" t="s">
        <v>815</v>
      </c>
      <c r="C380" s="2" t="s">
        <v>816</v>
      </c>
      <c r="D380" s="2" t="s">
        <v>337</v>
      </c>
      <c r="E380" s="2" t="s">
        <v>54</v>
      </c>
      <c r="F380" s="2" t="s">
        <v>484</v>
      </c>
      <c r="G380" s="2" t="s">
        <v>150</v>
      </c>
      <c r="H380" s="2">
        <v>6</v>
      </c>
      <c r="I380" s="2">
        <v>1818.59</v>
      </c>
      <c r="J380" s="2">
        <v>909.3</v>
      </c>
      <c r="K380" s="2">
        <v>0.15</v>
      </c>
      <c r="L380" s="2">
        <v>9274.83</v>
      </c>
    </row>
    <row r="381" spans="1:12" ht="15" customHeight="1" x14ac:dyDescent="0.3">
      <c r="A381" s="2">
        <v>100380</v>
      </c>
      <c r="B381" s="2" t="s">
        <v>817</v>
      </c>
      <c r="C381" s="2" t="s">
        <v>818</v>
      </c>
      <c r="D381" s="2" t="s">
        <v>26</v>
      </c>
      <c r="E381" s="2" t="s">
        <v>65</v>
      </c>
      <c r="F381" s="2" t="s">
        <v>223</v>
      </c>
      <c r="G381" s="2" t="s">
        <v>29</v>
      </c>
      <c r="H381" s="2">
        <v>10</v>
      </c>
      <c r="I381" s="2">
        <v>4834.7</v>
      </c>
      <c r="J381" s="2">
        <v>3045.86</v>
      </c>
      <c r="K381" s="2">
        <v>0</v>
      </c>
      <c r="L381" s="2">
        <v>48347.03</v>
      </c>
    </row>
    <row r="382" spans="1:12" ht="15" customHeight="1" x14ac:dyDescent="0.3">
      <c r="A382" s="2">
        <v>100381</v>
      </c>
      <c r="B382" s="2" t="s">
        <v>819</v>
      </c>
      <c r="C382" s="2" t="s">
        <v>820</v>
      </c>
      <c r="D382" s="2" t="s">
        <v>38</v>
      </c>
      <c r="E382" s="2" t="s">
        <v>103</v>
      </c>
      <c r="F382" s="2" t="s">
        <v>223</v>
      </c>
      <c r="G382" s="2" t="s">
        <v>29</v>
      </c>
      <c r="H382" s="2">
        <v>8</v>
      </c>
      <c r="I382" s="2">
        <v>4641.3599999999997</v>
      </c>
      <c r="J382" s="2">
        <v>2924.05</v>
      </c>
      <c r="K382" s="2">
        <v>0.2</v>
      </c>
      <c r="L382" s="2">
        <v>29704.67</v>
      </c>
    </row>
    <row r="383" spans="1:12" ht="15" customHeight="1" x14ac:dyDescent="0.3">
      <c r="A383" s="2">
        <v>100382</v>
      </c>
      <c r="B383" s="2" t="s">
        <v>821</v>
      </c>
      <c r="C383" s="2" t="s">
        <v>822</v>
      </c>
      <c r="D383" s="2" t="s">
        <v>79</v>
      </c>
      <c r="E383" s="2" t="s">
        <v>21</v>
      </c>
      <c r="F383" s="2" t="s">
        <v>253</v>
      </c>
      <c r="G383" s="2" t="s">
        <v>243</v>
      </c>
      <c r="H383" s="2">
        <v>1</v>
      </c>
      <c r="I383" s="2">
        <v>2207.11</v>
      </c>
      <c r="J383" s="2">
        <v>1213.9100000000001</v>
      </c>
      <c r="K383" s="2">
        <v>0.05</v>
      </c>
      <c r="L383" s="2">
        <v>2096.75</v>
      </c>
    </row>
    <row r="384" spans="1:12" ht="15" customHeight="1" x14ac:dyDescent="0.3">
      <c r="A384" s="2">
        <v>100383</v>
      </c>
      <c r="B384" s="2" t="s">
        <v>499</v>
      </c>
      <c r="C384" s="2" t="s">
        <v>823</v>
      </c>
      <c r="D384" s="2" t="s">
        <v>32</v>
      </c>
      <c r="E384" s="2" t="s">
        <v>124</v>
      </c>
      <c r="F384" s="2" t="s">
        <v>261</v>
      </c>
      <c r="G384" s="2" t="s">
        <v>183</v>
      </c>
      <c r="H384" s="2">
        <v>4</v>
      </c>
      <c r="I384" s="2">
        <v>200.23</v>
      </c>
      <c r="J384" s="2">
        <v>96.11</v>
      </c>
      <c r="K384" s="2">
        <v>0</v>
      </c>
      <c r="L384" s="2">
        <v>800.93</v>
      </c>
    </row>
    <row r="385" spans="1:12" ht="15" customHeight="1" x14ac:dyDescent="0.3">
      <c r="A385" s="2">
        <v>100384</v>
      </c>
      <c r="B385" s="2" t="s">
        <v>824</v>
      </c>
      <c r="C385" s="2" t="s">
        <v>825</v>
      </c>
      <c r="D385" s="2" t="s">
        <v>38</v>
      </c>
      <c r="E385" s="2" t="s">
        <v>21</v>
      </c>
      <c r="F385" s="2" t="s">
        <v>578</v>
      </c>
      <c r="G385" s="2" t="s">
        <v>229</v>
      </c>
      <c r="H385" s="2">
        <v>2</v>
      </c>
      <c r="I385" s="2">
        <v>14389.98</v>
      </c>
      <c r="J385" s="2">
        <v>8633.99</v>
      </c>
      <c r="K385" s="2">
        <v>0.05</v>
      </c>
      <c r="L385" s="2">
        <v>27340.97</v>
      </c>
    </row>
    <row r="386" spans="1:12" ht="15" customHeight="1" x14ac:dyDescent="0.3">
      <c r="A386" s="2">
        <v>100385</v>
      </c>
      <c r="B386" s="2" t="s">
        <v>447</v>
      </c>
      <c r="C386" s="2" t="s">
        <v>826</v>
      </c>
      <c r="D386" s="2" t="s">
        <v>32</v>
      </c>
      <c r="E386" s="2" t="s">
        <v>27</v>
      </c>
      <c r="F386" s="2" t="s">
        <v>724</v>
      </c>
      <c r="G386" s="2" t="s">
        <v>570</v>
      </c>
      <c r="H386" s="2">
        <v>6</v>
      </c>
      <c r="I386" s="2">
        <v>8584.4500000000007</v>
      </c>
      <c r="J386" s="2">
        <v>5150.67</v>
      </c>
      <c r="K386" s="2">
        <v>0.15</v>
      </c>
      <c r="L386" s="2">
        <v>43780.71</v>
      </c>
    </row>
    <row r="387" spans="1:12" ht="15" customHeight="1" x14ac:dyDescent="0.3">
      <c r="A387" s="2">
        <v>100386</v>
      </c>
      <c r="B387" s="2" t="s">
        <v>656</v>
      </c>
      <c r="C387" s="2" t="s">
        <v>827</v>
      </c>
      <c r="D387" s="2" t="s">
        <v>98</v>
      </c>
      <c r="E387" s="2" t="s">
        <v>27</v>
      </c>
      <c r="F387" s="2" t="s">
        <v>535</v>
      </c>
      <c r="G387" s="2" t="s">
        <v>302</v>
      </c>
      <c r="H387" s="2">
        <v>10</v>
      </c>
      <c r="I387" s="2">
        <v>6496.62</v>
      </c>
      <c r="J387" s="2">
        <v>3897.97</v>
      </c>
      <c r="K387" s="2">
        <v>0.1</v>
      </c>
      <c r="L387" s="2">
        <v>58469.57</v>
      </c>
    </row>
    <row r="388" spans="1:12" ht="15" customHeight="1" x14ac:dyDescent="0.3">
      <c r="A388" s="2">
        <v>100387</v>
      </c>
      <c r="B388" s="2" t="s">
        <v>828</v>
      </c>
      <c r="C388" s="2" t="s">
        <v>829</v>
      </c>
      <c r="D388" s="2" t="s">
        <v>337</v>
      </c>
      <c r="E388" s="2" t="s">
        <v>124</v>
      </c>
      <c r="F388" s="2" t="s">
        <v>321</v>
      </c>
      <c r="G388" s="2" t="s">
        <v>322</v>
      </c>
      <c r="H388" s="2">
        <v>7</v>
      </c>
      <c r="I388" s="2">
        <v>477.24</v>
      </c>
      <c r="J388" s="2">
        <v>238.62</v>
      </c>
      <c r="K388" s="2">
        <v>0</v>
      </c>
      <c r="L388" s="2">
        <v>3340.65</v>
      </c>
    </row>
    <row r="389" spans="1:12" ht="15" customHeight="1" x14ac:dyDescent="0.3">
      <c r="A389" s="2">
        <v>100388</v>
      </c>
      <c r="B389" s="2" t="s">
        <v>830</v>
      </c>
      <c r="C389" s="2" t="s">
        <v>831</v>
      </c>
      <c r="D389" s="2" t="s">
        <v>98</v>
      </c>
      <c r="E389" s="2" t="s">
        <v>54</v>
      </c>
      <c r="F389" s="2" t="s">
        <v>211</v>
      </c>
      <c r="G389" s="2" t="s">
        <v>142</v>
      </c>
      <c r="H389" s="2">
        <v>2</v>
      </c>
      <c r="I389" s="2">
        <v>1584.67</v>
      </c>
      <c r="J389" s="2">
        <v>792.34</v>
      </c>
      <c r="K389" s="2">
        <v>0</v>
      </c>
      <c r="L389" s="2">
        <v>3169.35</v>
      </c>
    </row>
    <row r="390" spans="1:12" ht="15" customHeight="1" x14ac:dyDescent="0.3">
      <c r="A390" s="2">
        <v>100389</v>
      </c>
      <c r="B390" s="2" t="s">
        <v>832</v>
      </c>
      <c r="C390" s="2" t="s">
        <v>833</v>
      </c>
      <c r="D390" s="2" t="s">
        <v>64</v>
      </c>
      <c r="E390" s="2" t="s">
        <v>128</v>
      </c>
      <c r="F390" s="2" t="s">
        <v>418</v>
      </c>
      <c r="G390" s="2" t="s">
        <v>90</v>
      </c>
      <c r="H390" s="2">
        <v>3</v>
      </c>
      <c r="I390" s="2">
        <v>47762.37</v>
      </c>
      <c r="J390" s="2">
        <v>31045.54</v>
      </c>
      <c r="K390" s="2">
        <v>0</v>
      </c>
      <c r="L390" s="2">
        <v>143287.10999999999</v>
      </c>
    </row>
    <row r="391" spans="1:12" ht="15" customHeight="1" x14ac:dyDescent="0.3">
      <c r="A391" s="2">
        <v>100390</v>
      </c>
      <c r="B391" s="2" t="s">
        <v>385</v>
      </c>
      <c r="C391" s="2" t="s">
        <v>834</v>
      </c>
      <c r="D391" s="2" t="s">
        <v>73</v>
      </c>
      <c r="E391" s="2" t="s">
        <v>128</v>
      </c>
      <c r="F391" s="2" t="s">
        <v>292</v>
      </c>
      <c r="G391" s="2" t="s">
        <v>76</v>
      </c>
      <c r="H391" s="2">
        <v>1</v>
      </c>
      <c r="I391" s="2">
        <v>2632.74</v>
      </c>
      <c r="J391" s="2">
        <v>1448.01</v>
      </c>
      <c r="K391" s="2"/>
      <c r="L391" s="2">
        <v>2369.4699999999998</v>
      </c>
    </row>
    <row r="392" spans="1:12" ht="15" customHeight="1" x14ac:dyDescent="0.3">
      <c r="A392" s="2">
        <v>100391</v>
      </c>
      <c r="B392" s="2" t="s">
        <v>186</v>
      </c>
      <c r="C392" s="2" t="s">
        <v>835</v>
      </c>
      <c r="D392" s="2" t="s">
        <v>53</v>
      </c>
      <c r="E392" s="2" t="s">
        <v>93</v>
      </c>
      <c r="F392" s="2" t="s">
        <v>214</v>
      </c>
      <c r="G392" s="2" t="s">
        <v>116</v>
      </c>
      <c r="H392" s="2">
        <v>2</v>
      </c>
      <c r="I392" s="2">
        <v>3294.34</v>
      </c>
      <c r="J392" s="2">
        <v>1976.6</v>
      </c>
      <c r="K392" s="2">
        <v>0.15</v>
      </c>
      <c r="L392" s="2">
        <v>5600.37</v>
      </c>
    </row>
    <row r="393" spans="1:12" ht="15" customHeight="1" x14ac:dyDescent="0.3">
      <c r="A393" s="2">
        <v>100392</v>
      </c>
      <c r="B393" s="2" t="s">
        <v>836</v>
      </c>
      <c r="C393" s="2" t="s">
        <v>837</v>
      </c>
      <c r="D393" s="2" t="s">
        <v>20</v>
      </c>
      <c r="E393" s="2" t="s">
        <v>93</v>
      </c>
      <c r="F393" s="2" t="s">
        <v>301</v>
      </c>
      <c r="G393" s="2" t="s">
        <v>95</v>
      </c>
      <c r="H393" s="2">
        <v>3</v>
      </c>
      <c r="I393" s="2">
        <v>10458.719999999999</v>
      </c>
      <c r="J393" s="2">
        <v>6066.05</v>
      </c>
      <c r="K393" s="2">
        <v>0.1</v>
      </c>
      <c r="L393" s="2">
        <v>28238.53</v>
      </c>
    </row>
    <row r="394" spans="1:12" ht="15" customHeight="1" x14ac:dyDescent="0.3">
      <c r="A394" s="2">
        <v>100393</v>
      </c>
      <c r="B394" s="2" t="s">
        <v>838</v>
      </c>
      <c r="C394" s="2" t="s">
        <v>524</v>
      </c>
      <c r="D394" s="2" t="s">
        <v>59</v>
      </c>
      <c r="E394" s="2" t="s">
        <v>103</v>
      </c>
      <c r="F394" s="2" t="s">
        <v>104</v>
      </c>
      <c r="G394" s="2" t="s">
        <v>105</v>
      </c>
      <c r="H394" s="2">
        <v>7</v>
      </c>
      <c r="I394" s="2">
        <v>2835.78</v>
      </c>
      <c r="J394" s="2">
        <v>1758.18</v>
      </c>
      <c r="K394" s="2">
        <v>0</v>
      </c>
      <c r="L394" s="2">
        <v>19850.47</v>
      </c>
    </row>
    <row r="395" spans="1:12" ht="15" customHeight="1" x14ac:dyDescent="0.3">
      <c r="A395" s="2">
        <v>100394</v>
      </c>
      <c r="B395" s="2" t="s">
        <v>203</v>
      </c>
      <c r="C395" s="2" t="s">
        <v>839</v>
      </c>
      <c r="D395" s="2" t="s">
        <v>64</v>
      </c>
      <c r="E395" s="2" t="s">
        <v>54</v>
      </c>
      <c r="F395" s="2" t="s">
        <v>156</v>
      </c>
      <c r="G395" s="2" t="s">
        <v>157</v>
      </c>
      <c r="H395" s="2">
        <v>5</v>
      </c>
      <c r="I395" s="2">
        <v>656.11</v>
      </c>
      <c r="J395" s="2">
        <v>295.25</v>
      </c>
      <c r="K395" s="2">
        <v>0.15</v>
      </c>
      <c r="L395" s="2">
        <v>2788.48</v>
      </c>
    </row>
    <row r="396" spans="1:12" ht="15" customHeight="1" x14ac:dyDescent="0.3">
      <c r="A396" s="2">
        <v>100395</v>
      </c>
      <c r="B396" s="2" t="s">
        <v>840</v>
      </c>
      <c r="C396" s="2" t="s">
        <v>720</v>
      </c>
      <c r="D396" s="2" t="s">
        <v>64</v>
      </c>
      <c r="E396" s="2" t="s">
        <v>65</v>
      </c>
      <c r="F396" s="2" t="s">
        <v>371</v>
      </c>
      <c r="G396" s="2" t="s">
        <v>67</v>
      </c>
      <c r="H396" s="2">
        <v>8</v>
      </c>
      <c r="I396" s="2">
        <v>7365.34</v>
      </c>
      <c r="J396" s="2">
        <v>4566.51</v>
      </c>
      <c r="K396" s="2">
        <v>0.1</v>
      </c>
      <c r="L396" s="2">
        <v>53030.48</v>
      </c>
    </row>
    <row r="397" spans="1:12" ht="15" customHeight="1" x14ac:dyDescent="0.3">
      <c r="A397" s="2">
        <v>100396</v>
      </c>
      <c r="B397" s="2" t="s">
        <v>841</v>
      </c>
      <c r="C397" s="2" t="s">
        <v>842</v>
      </c>
      <c r="D397" s="2" t="s">
        <v>79</v>
      </c>
      <c r="E397" s="2" t="s">
        <v>65</v>
      </c>
      <c r="F397" s="2" t="s">
        <v>171</v>
      </c>
      <c r="G397" s="2" t="s">
        <v>116</v>
      </c>
      <c r="H397" s="2">
        <v>10</v>
      </c>
      <c r="I397" s="2">
        <v>3603.06</v>
      </c>
      <c r="J397" s="2">
        <v>2161.84</v>
      </c>
      <c r="K397" s="2">
        <v>0.1</v>
      </c>
      <c r="L397" s="2">
        <v>32427.55</v>
      </c>
    </row>
    <row r="398" spans="1:12" ht="15" customHeight="1" x14ac:dyDescent="0.3">
      <c r="A398" s="2">
        <v>100397</v>
      </c>
      <c r="B398" s="2" t="s">
        <v>843</v>
      </c>
      <c r="C398" s="2" t="s">
        <v>844</v>
      </c>
      <c r="D398" s="2" t="s">
        <v>73</v>
      </c>
      <c r="E398" s="2" t="s">
        <v>188</v>
      </c>
      <c r="F398" s="2" t="s">
        <v>409</v>
      </c>
      <c r="G398" s="2" t="s">
        <v>183</v>
      </c>
      <c r="H398" s="2">
        <v>8</v>
      </c>
      <c r="I398" s="2">
        <v>213.46</v>
      </c>
      <c r="J398" s="2">
        <v>102.46</v>
      </c>
      <c r="K398" s="2">
        <v>0</v>
      </c>
      <c r="L398" s="2">
        <v>1707.69</v>
      </c>
    </row>
    <row r="399" spans="1:12" ht="15" customHeight="1" x14ac:dyDescent="0.3">
      <c r="A399" s="2">
        <v>100398</v>
      </c>
      <c r="B399" s="2" t="s">
        <v>560</v>
      </c>
      <c r="C399" s="2" t="s">
        <v>558</v>
      </c>
      <c r="D399" s="2" t="s">
        <v>20</v>
      </c>
      <c r="E399" s="2" t="s">
        <v>103</v>
      </c>
      <c r="F399" s="2" t="s">
        <v>28</v>
      </c>
      <c r="G399" s="2" t="s">
        <v>29</v>
      </c>
      <c r="H399" s="2">
        <v>3</v>
      </c>
      <c r="I399" s="2">
        <v>4649.9799999999996</v>
      </c>
      <c r="J399" s="2">
        <v>2929.49</v>
      </c>
      <c r="K399" s="2">
        <v>0.1</v>
      </c>
      <c r="L399" s="2">
        <v>12554.95</v>
      </c>
    </row>
    <row r="400" spans="1:12" ht="15" customHeight="1" x14ac:dyDescent="0.3">
      <c r="A400" s="2">
        <v>100399</v>
      </c>
      <c r="B400" s="2" t="s">
        <v>845</v>
      </c>
      <c r="C400" s="2" t="s">
        <v>846</v>
      </c>
      <c r="D400" s="2" t="s">
        <v>64</v>
      </c>
      <c r="E400" s="2" t="s">
        <v>128</v>
      </c>
      <c r="F400" s="2" t="s">
        <v>86</v>
      </c>
      <c r="G400" s="2" t="s">
        <v>87</v>
      </c>
      <c r="H400" s="2">
        <v>2</v>
      </c>
      <c r="I400" s="2">
        <v>61992.06</v>
      </c>
      <c r="J400" s="2">
        <v>37195.230000000003</v>
      </c>
      <c r="K400" s="2">
        <v>0.05</v>
      </c>
      <c r="L400" s="2">
        <v>117784.91</v>
      </c>
    </row>
    <row r="401" spans="1:12" ht="15" customHeight="1" x14ac:dyDescent="0.3">
      <c r="A401" s="2">
        <v>100400</v>
      </c>
      <c r="B401" s="2" t="s">
        <v>847</v>
      </c>
      <c r="C401" s="2" t="s">
        <v>848</v>
      </c>
      <c r="D401" s="2" t="s">
        <v>102</v>
      </c>
      <c r="E401" s="2" t="s">
        <v>54</v>
      </c>
      <c r="F401" s="2" t="s">
        <v>437</v>
      </c>
      <c r="G401" s="2" t="s">
        <v>142</v>
      </c>
      <c r="H401" s="2">
        <v>10</v>
      </c>
      <c r="I401" s="2">
        <v>1556.63</v>
      </c>
      <c r="J401" s="2">
        <v>778.31</v>
      </c>
      <c r="K401" s="2">
        <v>0.15</v>
      </c>
      <c r="L401" s="2">
        <v>13231.35</v>
      </c>
    </row>
    <row r="402" spans="1:12" ht="15" customHeight="1" x14ac:dyDescent="0.3">
      <c r="A402" s="2">
        <v>100401</v>
      </c>
      <c r="B402" s="2" t="s">
        <v>604</v>
      </c>
      <c r="C402" s="2" t="s">
        <v>849</v>
      </c>
      <c r="D402" s="2" t="s">
        <v>79</v>
      </c>
      <c r="E402" s="2" t="s">
        <v>188</v>
      </c>
      <c r="F402" s="2" t="s">
        <v>60</v>
      </c>
      <c r="G402" s="2" t="s">
        <v>61</v>
      </c>
      <c r="H402" s="2">
        <v>1</v>
      </c>
      <c r="I402" s="2">
        <v>225.89</v>
      </c>
      <c r="J402" s="2">
        <v>112.94</v>
      </c>
      <c r="K402" s="2">
        <v>0</v>
      </c>
      <c r="L402" s="2">
        <v>225.89</v>
      </c>
    </row>
    <row r="403" spans="1:12" ht="15" customHeight="1" x14ac:dyDescent="0.3">
      <c r="A403" s="2">
        <v>100402</v>
      </c>
      <c r="B403" s="2" t="s">
        <v>850</v>
      </c>
      <c r="C403" s="2" t="s">
        <v>851</v>
      </c>
      <c r="D403" s="2" t="s">
        <v>47</v>
      </c>
      <c r="E403" s="2" t="s">
        <v>188</v>
      </c>
      <c r="F403" s="2" t="s">
        <v>556</v>
      </c>
      <c r="G403" s="2" t="s">
        <v>206</v>
      </c>
      <c r="H403" s="2">
        <v>5</v>
      </c>
      <c r="I403" s="2">
        <v>270.17</v>
      </c>
      <c r="J403" s="2">
        <v>135.08000000000001</v>
      </c>
      <c r="K403" s="2">
        <v>0</v>
      </c>
      <c r="L403" s="2">
        <v>1350.83</v>
      </c>
    </row>
    <row r="404" spans="1:12" ht="15" customHeight="1" x14ac:dyDescent="0.3">
      <c r="A404" s="2">
        <v>100403</v>
      </c>
      <c r="B404" s="2" t="s">
        <v>843</v>
      </c>
      <c r="C404" s="2" t="s">
        <v>852</v>
      </c>
      <c r="D404" s="2" t="s">
        <v>20</v>
      </c>
      <c r="E404" s="2" t="s">
        <v>181</v>
      </c>
      <c r="F404" s="2" t="s">
        <v>199</v>
      </c>
      <c r="G404" s="2" t="s">
        <v>183</v>
      </c>
      <c r="H404" s="2">
        <v>6</v>
      </c>
      <c r="I404" s="2">
        <v>215.13</v>
      </c>
      <c r="J404" s="2">
        <v>103.26</v>
      </c>
      <c r="K404" s="2">
        <v>0.2</v>
      </c>
      <c r="L404" s="2">
        <v>1032.6300000000001</v>
      </c>
    </row>
    <row r="405" spans="1:12" ht="15" customHeight="1" x14ac:dyDescent="0.3">
      <c r="A405" s="2">
        <v>100404</v>
      </c>
      <c r="B405" s="2" t="s">
        <v>119</v>
      </c>
      <c r="C405" s="2" t="s">
        <v>853</v>
      </c>
      <c r="D405" s="2" t="s">
        <v>26</v>
      </c>
      <c r="E405" s="2" t="s">
        <v>21</v>
      </c>
      <c r="F405" s="2" t="s">
        <v>75</v>
      </c>
      <c r="G405" s="2" t="s">
        <v>110</v>
      </c>
      <c r="H405" s="2">
        <v>5</v>
      </c>
      <c r="I405" s="2">
        <v>1147.4100000000001</v>
      </c>
      <c r="J405" s="2">
        <v>688.45</v>
      </c>
      <c r="K405" s="2">
        <v>0.1</v>
      </c>
      <c r="L405" s="2">
        <v>5163.37</v>
      </c>
    </row>
    <row r="406" spans="1:12" ht="15" customHeight="1" x14ac:dyDescent="0.3">
      <c r="A406" s="2">
        <v>100405</v>
      </c>
      <c r="B406" s="2" t="s">
        <v>854</v>
      </c>
      <c r="C406" s="2" t="s">
        <v>855</v>
      </c>
      <c r="D406" s="2" t="s">
        <v>92</v>
      </c>
      <c r="E406" s="2" t="s">
        <v>93</v>
      </c>
      <c r="F406" s="2" t="s">
        <v>104</v>
      </c>
      <c r="G406" s="2" t="s">
        <v>116</v>
      </c>
      <c r="H406" s="2">
        <v>11</v>
      </c>
      <c r="I406" s="2">
        <v>3594.09</v>
      </c>
      <c r="J406" s="2">
        <v>2156.46</v>
      </c>
      <c r="K406" s="2">
        <v>0.1</v>
      </c>
      <c r="L406" s="2">
        <v>35581.519999999997</v>
      </c>
    </row>
    <row r="407" spans="1:12" ht="15" customHeight="1" x14ac:dyDescent="0.3">
      <c r="A407" s="2">
        <v>100406</v>
      </c>
      <c r="B407" s="2" t="s">
        <v>641</v>
      </c>
      <c r="C407" s="2" t="s">
        <v>856</v>
      </c>
      <c r="D407" s="2" t="s">
        <v>53</v>
      </c>
      <c r="E407" s="2" t="s">
        <v>137</v>
      </c>
      <c r="F407" s="2" t="s">
        <v>153</v>
      </c>
      <c r="G407" s="2" t="s">
        <v>138</v>
      </c>
      <c r="H407" s="2">
        <v>5</v>
      </c>
      <c r="I407" s="2">
        <v>2358.0300000000002</v>
      </c>
      <c r="J407" s="2">
        <v>1179.01</v>
      </c>
      <c r="K407" s="2">
        <v>0.1</v>
      </c>
      <c r="L407" s="2">
        <v>10611.13</v>
      </c>
    </row>
    <row r="408" spans="1:12" ht="15" customHeight="1" x14ac:dyDescent="0.3">
      <c r="A408" s="2">
        <v>100407</v>
      </c>
      <c r="B408" s="2" t="s">
        <v>857</v>
      </c>
      <c r="C408" s="2" t="s">
        <v>858</v>
      </c>
      <c r="D408" s="2" t="s">
        <v>32</v>
      </c>
      <c r="E408" s="2" t="s">
        <v>137</v>
      </c>
      <c r="F408" s="2" t="s">
        <v>211</v>
      </c>
      <c r="G408" s="2" t="s">
        <v>221</v>
      </c>
      <c r="H408" s="2">
        <v>2</v>
      </c>
      <c r="I408" s="2">
        <v>1858.34</v>
      </c>
      <c r="J408" s="2">
        <v>929.17</v>
      </c>
      <c r="K408" s="2">
        <v>0.2</v>
      </c>
      <c r="L408" s="2">
        <v>2973.34</v>
      </c>
    </row>
    <row r="409" spans="1:12" ht="15" customHeight="1" x14ac:dyDescent="0.3">
      <c r="A409" s="2">
        <v>100408</v>
      </c>
      <c r="B409" s="2" t="s">
        <v>859</v>
      </c>
      <c r="C409" s="2" t="s">
        <v>860</v>
      </c>
      <c r="D409" s="2" t="s">
        <v>32</v>
      </c>
      <c r="E409" s="2" t="s">
        <v>54</v>
      </c>
      <c r="F409" s="2" t="s">
        <v>141</v>
      </c>
      <c r="G409" s="2" t="s">
        <v>221</v>
      </c>
      <c r="H409" s="2">
        <v>7</v>
      </c>
      <c r="I409" s="2">
        <v>1861.38</v>
      </c>
      <c r="J409" s="2">
        <v>930.69</v>
      </c>
      <c r="K409" s="2">
        <v>0</v>
      </c>
      <c r="L409" s="2">
        <v>13029.66</v>
      </c>
    </row>
    <row r="410" spans="1:12" ht="15" customHeight="1" x14ac:dyDescent="0.3">
      <c r="A410" s="2">
        <v>100409</v>
      </c>
      <c r="B410" s="2" t="s">
        <v>487</v>
      </c>
      <c r="C410" s="2" t="s">
        <v>861</v>
      </c>
      <c r="D410" s="2" t="s">
        <v>92</v>
      </c>
      <c r="E410" s="2" t="s">
        <v>85</v>
      </c>
      <c r="F410" s="2" t="s">
        <v>226</v>
      </c>
      <c r="G410" s="2" t="s">
        <v>90</v>
      </c>
      <c r="H410" s="2">
        <v>6</v>
      </c>
      <c r="I410" s="2">
        <v>46269.36</v>
      </c>
      <c r="J410" s="2">
        <v>30075.08</v>
      </c>
      <c r="K410" s="2">
        <v>0.2</v>
      </c>
      <c r="L410" s="2">
        <v>222092.92</v>
      </c>
    </row>
    <row r="411" spans="1:12" ht="15" customHeight="1" x14ac:dyDescent="0.3">
      <c r="A411" s="2">
        <v>100410</v>
      </c>
      <c r="B411" s="2" t="s">
        <v>862</v>
      </c>
      <c r="C411" s="2" t="s">
        <v>863</v>
      </c>
      <c r="D411" s="2" t="s">
        <v>38</v>
      </c>
      <c r="E411" s="2" t="s">
        <v>181</v>
      </c>
      <c r="F411" s="2" t="s">
        <v>199</v>
      </c>
      <c r="G411" s="2" t="s">
        <v>200</v>
      </c>
      <c r="H411" s="2">
        <v>4</v>
      </c>
      <c r="I411" s="2">
        <v>185.04</v>
      </c>
      <c r="J411" s="2">
        <v>88.82</v>
      </c>
      <c r="K411" s="2">
        <v>0.2</v>
      </c>
      <c r="L411" s="2">
        <v>592.11</v>
      </c>
    </row>
    <row r="412" spans="1:12" ht="15" customHeight="1" x14ac:dyDescent="0.3">
      <c r="A412" s="2">
        <v>100411</v>
      </c>
      <c r="B412" s="2" t="s">
        <v>864</v>
      </c>
      <c r="C412" s="2" t="s">
        <v>865</v>
      </c>
      <c r="D412" s="2" t="s">
        <v>38</v>
      </c>
      <c r="E412" s="2" t="s">
        <v>54</v>
      </c>
      <c r="F412" s="2" t="s">
        <v>866</v>
      </c>
      <c r="G412" s="2" t="s">
        <v>150</v>
      </c>
      <c r="H412" s="2">
        <v>6</v>
      </c>
      <c r="I412" s="2">
        <v>1939.8</v>
      </c>
      <c r="J412" s="2">
        <v>969.9</v>
      </c>
      <c r="K412" s="2">
        <v>0.1</v>
      </c>
      <c r="L412" s="2">
        <v>10474.91</v>
      </c>
    </row>
    <row r="413" spans="1:12" ht="15" customHeight="1" x14ac:dyDescent="0.3">
      <c r="A413" s="2">
        <v>100412</v>
      </c>
      <c r="B413" s="2" t="s">
        <v>464</v>
      </c>
      <c r="C413" s="2" t="s">
        <v>791</v>
      </c>
      <c r="D413" s="2" t="s">
        <v>209</v>
      </c>
      <c r="E413" s="2" t="s">
        <v>65</v>
      </c>
      <c r="F413" s="2" t="s">
        <v>539</v>
      </c>
      <c r="G413" s="2" t="s">
        <v>105</v>
      </c>
      <c r="H413" s="2">
        <v>5</v>
      </c>
      <c r="I413" s="2">
        <v>2995.88</v>
      </c>
      <c r="J413" s="2">
        <v>1857.45</v>
      </c>
      <c r="K413" s="2">
        <v>0.15</v>
      </c>
      <c r="L413" s="2">
        <v>12732.51</v>
      </c>
    </row>
    <row r="414" spans="1:12" ht="15" customHeight="1" x14ac:dyDescent="0.3">
      <c r="A414" s="2">
        <v>100413</v>
      </c>
      <c r="B414" s="2" t="s">
        <v>62</v>
      </c>
      <c r="C414" s="2" t="s">
        <v>867</v>
      </c>
      <c r="D414" s="2" t="s">
        <v>98</v>
      </c>
      <c r="E414" s="2" t="s">
        <v>65</v>
      </c>
      <c r="F414" s="2" t="s">
        <v>214</v>
      </c>
      <c r="G414" s="2" t="s">
        <v>116</v>
      </c>
      <c r="H414" s="2">
        <v>3</v>
      </c>
      <c r="I414" s="2">
        <v>3634.82</v>
      </c>
      <c r="J414" s="2">
        <v>2180.89</v>
      </c>
      <c r="K414" s="2">
        <v>0.15</v>
      </c>
      <c r="L414" s="2">
        <v>9268.7999999999993</v>
      </c>
    </row>
    <row r="415" spans="1:12" ht="15" customHeight="1" x14ac:dyDescent="0.3">
      <c r="A415" s="2">
        <v>100414</v>
      </c>
      <c r="B415" s="2" t="s">
        <v>676</v>
      </c>
      <c r="C415" s="2" t="s">
        <v>868</v>
      </c>
      <c r="D415" s="2" t="s">
        <v>79</v>
      </c>
      <c r="E415" s="2" t="s">
        <v>210</v>
      </c>
      <c r="F415" s="2" t="s">
        <v>196</v>
      </c>
      <c r="G415" s="2" t="s">
        <v>56</v>
      </c>
      <c r="H415" s="2">
        <v>12</v>
      </c>
      <c r="I415" s="2">
        <v>442.77</v>
      </c>
      <c r="J415" s="2">
        <v>199.25</v>
      </c>
      <c r="K415" s="2">
        <v>0</v>
      </c>
      <c r="L415" s="2">
        <v>5313.2</v>
      </c>
    </row>
    <row r="416" spans="1:12" ht="15" customHeight="1" x14ac:dyDescent="0.3">
      <c r="A416" s="2">
        <v>100415</v>
      </c>
      <c r="B416" s="2" t="s">
        <v>869</v>
      </c>
      <c r="C416" s="2" t="s">
        <v>870</v>
      </c>
      <c r="D416" s="2" t="s">
        <v>53</v>
      </c>
      <c r="E416" s="2" t="s">
        <v>124</v>
      </c>
      <c r="F416" s="2" t="s">
        <v>350</v>
      </c>
      <c r="G416" s="2" t="s">
        <v>61</v>
      </c>
      <c r="H416" s="2">
        <v>2</v>
      </c>
      <c r="I416" s="2">
        <v>213.51</v>
      </c>
      <c r="J416" s="2">
        <v>106.76</v>
      </c>
      <c r="K416" s="2">
        <v>0.1</v>
      </c>
      <c r="L416" s="2">
        <v>384.32</v>
      </c>
    </row>
    <row r="417" spans="1:12" ht="15" customHeight="1" x14ac:dyDescent="0.3">
      <c r="A417" s="2">
        <v>100416</v>
      </c>
      <c r="B417" s="2" t="s">
        <v>68</v>
      </c>
      <c r="C417" s="2" t="s">
        <v>871</v>
      </c>
      <c r="D417" s="2" t="s">
        <v>64</v>
      </c>
      <c r="E417" s="2" t="s">
        <v>124</v>
      </c>
      <c r="F417" s="2" t="s">
        <v>325</v>
      </c>
      <c r="G417" s="2" t="s">
        <v>338</v>
      </c>
      <c r="H417" s="2">
        <v>7</v>
      </c>
      <c r="I417" s="2">
        <v>149.66999999999999</v>
      </c>
      <c r="J417" s="2">
        <v>67.349999999999994</v>
      </c>
      <c r="K417" s="2">
        <v>0.1</v>
      </c>
      <c r="L417" s="2">
        <v>942.91</v>
      </c>
    </row>
    <row r="418" spans="1:12" ht="15" customHeight="1" x14ac:dyDescent="0.3">
      <c r="A418" s="2">
        <v>100417</v>
      </c>
      <c r="B418" s="2" t="s">
        <v>872</v>
      </c>
      <c r="C418" s="2" t="s">
        <v>540</v>
      </c>
      <c r="D418" s="2" t="s">
        <v>121</v>
      </c>
      <c r="E418" s="2" t="s">
        <v>85</v>
      </c>
      <c r="F418" s="2" t="s">
        <v>368</v>
      </c>
      <c r="G418" s="2" t="s">
        <v>35</v>
      </c>
      <c r="H418" s="2">
        <v>7</v>
      </c>
      <c r="I418" s="2">
        <v>3186.96</v>
      </c>
      <c r="J418" s="2">
        <v>1593.48</v>
      </c>
      <c r="K418" s="2"/>
      <c r="L418" s="2">
        <v>22308.71</v>
      </c>
    </row>
    <row r="419" spans="1:12" ht="15" customHeight="1" x14ac:dyDescent="0.3">
      <c r="A419" s="2">
        <v>100418</v>
      </c>
      <c r="B419" s="2" t="s">
        <v>873</v>
      </c>
      <c r="C419" s="2" t="s">
        <v>874</v>
      </c>
      <c r="D419" s="2" t="s">
        <v>47</v>
      </c>
      <c r="E419" s="2" t="s">
        <v>27</v>
      </c>
      <c r="F419" s="2" t="s">
        <v>535</v>
      </c>
      <c r="G419" s="2" t="s">
        <v>95</v>
      </c>
      <c r="H419" s="2">
        <v>5</v>
      </c>
      <c r="I419" s="2">
        <v>10260.969999999999</v>
      </c>
      <c r="J419" s="2">
        <v>5951.36</v>
      </c>
      <c r="K419" s="2">
        <v>0.1</v>
      </c>
      <c r="L419" s="2">
        <v>46174.36</v>
      </c>
    </row>
    <row r="420" spans="1:12" ht="15" customHeight="1" x14ac:dyDescent="0.3">
      <c r="A420" s="2">
        <v>100419</v>
      </c>
      <c r="B420" s="2" t="s">
        <v>875</v>
      </c>
      <c r="C420" s="2" t="s">
        <v>876</v>
      </c>
      <c r="D420" s="2" t="s">
        <v>108</v>
      </c>
      <c r="E420" s="2" t="s">
        <v>124</v>
      </c>
      <c r="F420" s="2" t="s">
        <v>393</v>
      </c>
      <c r="G420" s="2" t="s">
        <v>50</v>
      </c>
      <c r="H420" s="2">
        <v>4</v>
      </c>
      <c r="I420" s="2">
        <v>119.77</v>
      </c>
      <c r="J420" s="2">
        <v>53.89</v>
      </c>
      <c r="K420" s="2">
        <v>0.15</v>
      </c>
      <c r="L420" s="2">
        <v>407.21</v>
      </c>
    </row>
    <row r="421" spans="1:12" ht="15" customHeight="1" x14ac:dyDescent="0.3">
      <c r="A421" s="2">
        <v>100420</v>
      </c>
      <c r="B421" s="2" t="s">
        <v>877</v>
      </c>
      <c r="C421" s="2" t="s">
        <v>878</v>
      </c>
      <c r="D421" s="2" t="s">
        <v>102</v>
      </c>
      <c r="E421" s="2" t="s">
        <v>74</v>
      </c>
      <c r="F421" s="2" t="s">
        <v>418</v>
      </c>
      <c r="G421" s="2" t="s">
        <v>343</v>
      </c>
      <c r="H421" s="2">
        <v>1</v>
      </c>
      <c r="I421" s="2">
        <v>36357.440000000002</v>
      </c>
      <c r="J421" s="2">
        <v>24723.06</v>
      </c>
      <c r="K421" s="2">
        <v>0</v>
      </c>
      <c r="L421" s="2">
        <v>36357.440000000002</v>
      </c>
    </row>
    <row r="422" spans="1:12" ht="15" customHeight="1" x14ac:dyDescent="0.3">
      <c r="A422" s="2">
        <v>100421</v>
      </c>
      <c r="B422" s="2" t="s">
        <v>877</v>
      </c>
      <c r="C422" s="2" t="s">
        <v>879</v>
      </c>
      <c r="D422" s="2" t="s">
        <v>32</v>
      </c>
      <c r="E422" s="2" t="s">
        <v>93</v>
      </c>
      <c r="F422" s="2" t="s">
        <v>371</v>
      </c>
      <c r="G422" s="2" t="s">
        <v>67</v>
      </c>
      <c r="H422" s="2">
        <v>3</v>
      </c>
      <c r="I422" s="2">
        <v>6985.25</v>
      </c>
      <c r="J422" s="2">
        <v>4330.8500000000004</v>
      </c>
      <c r="K422" s="2">
        <v>0.1</v>
      </c>
      <c r="L422" s="2">
        <v>18860.169999999998</v>
      </c>
    </row>
    <row r="423" spans="1:12" ht="15" customHeight="1" x14ac:dyDescent="0.3">
      <c r="A423" s="2">
        <v>100422</v>
      </c>
      <c r="B423" s="2" t="s">
        <v>880</v>
      </c>
      <c r="C423" s="2" t="s">
        <v>881</v>
      </c>
      <c r="D423" s="2" t="s">
        <v>53</v>
      </c>
      <c r="E423" s="2" t="s">
        <v>54</v>
      </c>
      <c r="F423" s="2" t="s">
        <v>235</v>
      </c>
      <c r="G423" s="2" t="s">
        <v>264</v>
      </c>
      <c r="H423" s="2">
        <v>7</v>
      </c>
      <c r="I423" s="2">
        <v>2565.63</v>
      </c>
      <c r="J423" s="2">
        <v>1231.5</v>
      </c>
      <c r="K423" s="2">
        <v>0.05</v>
      </c>
      <c r="L423" s="2">
        <v>17061.43</v>
      </c>
    </row>
    <row r="424" spans="1:12" ht="15" customHeight="1" x14ac:dyDescent="0.3">
      <c r="A424" s="2">
        <v>100423</v>
      </c>
      <c r="B424" s="2" t="s">
        <v>882</v>
      </c>
      <c r="C424" s="2" t="s">
        <v>883</v>
      </c>
      <c r="D424" s="2" t="s">
        <v>73</v>
      </c>
      <c r="E424" s="2" t="s">
        <v>74</v>
      </c>
      <c r="F424" s="2" t="s">
        <v>145</v>
      </c>
      <c r="G424" s="2" t="s">
        <v>76</v>
      </c>
      <c r="H424" s="2">
        <v>1</v>
      </c>
      <c r="I424" s="2">
        <v>2449.6999999999998</v>
      </c>
      <c r="J424" s="2">
        <v>1347.34</v>
      </c>
      <c r="K424" s="2">
        <v>0</v>
      </c>
      <c r="L424" s="2">
        <v>2449.6999999999998</v>
      </c>
    </row>
    <row r="425" spans="1:12" ht="15" customHeight="1" x14ac:dyDescent="0.3">
      <c r="A425" s="2">
        <v>100424</v>
      </c>
      <c r="B425" s="2" t="s">
        <v>399</v>
      </c>
      <c r="C425" s="2" t="s">
        <v>884</v>
      </c>
      <c r="D425" s="2" t="s">
        <v>26</v>
      </c>
      <c r="E425" s="2" t="s">
        <v>54</v>
      </c>
      <c r="F425" s="2" t="s">
        <v>463</v>
      </c>
      <c r="G425" s="2" t="s">
        <v>142</v>
      </c>
      <c r="H425" s="2">
        <v>12</v>
      </c>
      <c r="I425" s="2">
        <v>1594.04</v>
      </c>
      <c r="J425" s="2">
        <v>797.02</v>
      </c>
      <c r="K425" s="2">
        <v>0</v>
      </c>
      <c r="L425" s="2">
        <v>19128.5</v>
      </c>
    </row>
    <row r="426" spans="1:12" ht="15" customHeight="1" x14ac:dyDescent="0.3">
      <c r="A426" s="2">
        <v>100425</v>
      </c>
      <c r="B426" s="2" t="s">
        <v>487</v>
      </c>
      <c r="C426" s="2" t="s">
        <v>885</v>
      </c>
      <c r="D426" s="2" t="s">
        <v>98</v>
      </c>
      <c r="E426" s="2" t="s">
        <v>65</v>
      </c>
      <c r="F426" s="2" t="s">
        <v>223</v>
      </c>
      <c r="G426" s="2" t="s">
        <v>70</v>
      </c>
      <c r="H426" s="2">
        <v>4</v>
      </c>
      <c r="I426" s="2">
        <v>5879.29</v>
      </c>
      <c r="J426" s="2">
        <v>3527.57</v>
      </c>
      <c r="K426" s="2">
        <v>0.15</v>
      </c>
      <c r="L426" s="2">
        <v>19989.580000000002</v>
      </c>
    </row>
    <row r="427" spans="1:12" ht="15" customHeight="1" x14ac:dyDescent="0.3">
      <c r="A427" s="2">
        <v>100426</v>
      </c>
      <c r="B427" s="2" t="s">
        <v>614</v>
      </c>
      <c r="C427" s="2" t="s">
        <v>886</v>
      </c>
      <c r="D427" s="2" t="s">
        <v>121</v>
      </c>
      <c r="E427" s="2" t="s">
        <v>85</v>
      </c>
      <c r="F427" s="2" t="s">
        <v>418</v>
      </c>
      <c r="G427" s="2" t="s">
        <v>87</v>
      </c>
      <c r="H427" s="2">
        <v>12</v>
      </c>
      <c r="I427" s="2">
        <v>64215.89</v>
      </c>
      <c r="J427" s="2">
        <v>38529.53</v>
      </c>
      <c r="K427" s="2">
        <v>0.1</v>
      </c>
      <c r="L427" s="2">
        <v>693531.58</v>
      </c>
    </row>
    <row r="428" spans="1:12" ht="15" customHeight="1" x14ac:dyDescent="0.3">
      <c r="A428" s="2">
        <v>100427</v>
      </c>
      <c r="B428" s="2" t="s">
        <v>433</v>
      </c>
      <c r="C428" s="2" t="s">
        <v>887</v>
      </c>
      <c r="D428" s="2" t="s">
        <v>47</v>
      </c>
      <c r="E428" s="2" t="s">
        <v>93</v>
      </c>
      <c r="F428" s="2" t="s">
        <v>371</v>
      </c>
      <c r="G428" s="2" t="s">
        <v>67</v>
      </c>
      <c r="H428" s="2">
        <v>5</v>
      </c>
      <c r="I428" s="2">
        <v>7043.29</v>
      </c>
      <c r="J428" s="2">
        <v>4366.84</v>
      </c>
      <c r="K428" s="2">
        <v>0</v>
      </c>
      <c r="L428" s="2">
        <v>35216.43</v>
      </c>
    </row>
    <row r="429" spans="1:12" ht="15" customHeight="1" x14ac:dyDescent="0.3">
      <c r="A429" s="2">
        <v>100428</v>
      </c>
      <c r="B429" s="2" t="s">
        <v>888</v>
      </c>
      <c r="C429" s="2" t="s">
        <v>889</v>
      </c>
      <c r="D429" s="2" t="s">
        <v>160</v>
      </c>
      <c r="E429" s="2" t="s">
        <v>148</v>
      </c>
      <c r="F429" s="2" t="s">
        <v>484</v>
      </c>
      <c r="G429" s="2" t="s">
        <v>150</v>
      </c>
      <c r="H429" s="2">
        <v>2</v>
      </c>
      <c r="I429" s="2">
        <v>1878.74</v>
      </c>
      <c r="J429" s="2">
        <v>939.37</v>
      </c>
      <c r="K429" s="2">
        <v>0.2</v>
      </c>
      <c r="L429" s="2">
        <v>3005.99</v>
      </c>
    </row>
    <row r="430" spans="1:12" ht="15" customHeight="1" x14ac:dyDescent="0.3">
      <c r="A430" s="2">
        <v>100429</v>
      </c>
      <c r="B430" s="2" t="s">
        <v>890</v>
      </c>
      <c r="C430" s="2" t="s">
        <v>891</v>
      </c>
      <c r="D430" s="2" t="s">
        <v>155</v>
      </c>
      <c r="E430" s="2" t="s">
        <v>124</v>
      </c>
      <c r="F430" s="2" t="s">
        <v>298</v>
      </c>
      <c r="G430" s="2" t="s">
        <v>200</v>
      </c>
      <c r="H430" s="2">
        <v>7</v>
      </c>
      <c r="I430" s="2">
        <v>189.98</v>
      </c>
      <c r="J430" s="2">
        <v>91.19</v>
      </c>
      <c r="K430" s="2">
        <v>0.1</v>
      </c>
      <c r="L430" s="2">
        <v>1196.8599999999999</v>
      </c>
    </row>
    <row r="431" spans="1:12" ht="15" customHeight="1" x14ac:dyDescent="0.3">
      <c r="A431" s="2">
        <v>100430</v>
      </c>
      <c r="B431" s="2" t="s">
        <v>892</v>
      </c>
      <c r="C431" s="2" t="s">
        <v>893</v>
      </c>
      <c r="D431" s="2" t="s">
        <v>38</v>
      </c>
      <c r="E431" s="2" t="s">
        <v>188</v>
      </c>
      <c r="F431" s="2" t="s">
        <v>409</v>
      </c>
      <c r="G431" s="2" t="s">
        <v>183</v>
      </c>
      <c r="H431" s="2">
        <v>2</v>
      </c>
      <c r="I431" s="2">
        <v>224.27</v>
      </c>
      <c r="J431" s="2">
        <v>107.65</v>
      </c>
      <c r="K431" s="2">
        <v>0.1</v>
      </c>
      <c r="L431" s="2">
        <v>403.68</v>
      </c>
    </row>
    <row r="432" spans="1:12" ht="15" customHeight="1" x14ac:dyDescent="0.3">
      <c r="A432" s="2">
        <v>100431</v>
      </c>
      <c r="B432" s="2" t="s">
        <v>894</v>
      </c>
      <c r="C432" s="2" t="s">
        <v>895</v>
      </c>
      <c r="D432" s="2" t="s">
        <v>98</v>
      </c>
      <c r="E432" s="2" t="s">
        <v>54</v>
      </c>
      <c r="F432" s="2" t="s">
        <v>141</v>
      </c>
      <c r="G432" s="2" t="s">
        <v>142</v>
      </c>
      <c r="H432" s="2">
        <v>8</v>
      </c>
      <c r="I432" s="2">
        <v>1553.87</v>
      </c>
      <c r="J432" s="2">
        <v>776.93</v>
      </c>
      <c r="K432" s="2">
        <v>0.1</v>
      </c>
      <c r="L432" s="2"/>
    </row>
    <row r="433" spans="1:12" ht="15" customHeight="1" x14ac:dyDescent="0.3">
      <c r="A433" s="2">
        <v>100432</v>
      </c>
      <c r="B433" s="2" t="s">
        <v>896</v>
      </c>
      <c r="C433" s="2" t="s">
        <v>270</v>
      </c>
      <c r="D433" s="2" t="s">
        <v>38</v>
      </c>
      <c r="E433" s="2" t="s">
        <v>128</v>
      </c>
      <c r="F433" s="2" t="s">
        <v>34</v>
      </c>
      <c r="G433" s="2" t="s">
        <v>35</v>
      </c>
      <c r="H433" s="2">
        <v>5</v>
      </c>
      <c r="I433" s="2">
        <v>3071.52</v>
      </c>
      <c r="J433" s="2">
        <v>1535.76</v>
      </c>
      <c r="K433" s="2">
        <v>0.15</v>
      </c>
      <c r="L433" s="2">
        <v>13053.96</v>
      </c>
    </row>
    <row r="434" spans="1:12" ht="15" customHeight="1" x14ac:dyDescent="0.3">
      <c r="A434" s="2">
        <v>100433</v>
      </c>
      <c r="B434" s="2" t="s">
        <v>897</v>
      </c>
      <c r="C434" s="2" t="s">
        <v>898</v>
      </c>
      <c r="D434" s="2" t="s">
        <v>102</v>
      </c>
      <c r="E434" s="2" t="s">
        <v>33</v>
      </c>
      <c r="F434" s="2" t="s">
        <v>34</v>
      </c>
      <c r="G434" s="2" t="s">
        <v>35</v>
      </c>
      <c r="H434" s="2">
        <v>1</v>
      </c>
      <c r="I434" s="2">
        <v>2947.36</v>
      </c>
      <c r="J434" s="2">
        <v>1473.68</v>
      </c>
      <c r="K434" s="2">
        <v>0</v>
      </c>
      <c r="L434" s="2">
        <v>2947.36</v>
      </c>
    </row>
    <row r="435" spans="1:12" ht="15" customHeight="1" x14ac:dyDescent="0.3">
      <c r="A435" s="2">
        <v>100434</v>
      </c>
      <c r="B435" s="2" t="s">
        <v>265</v>
      </c>
      <c r="C435" s="2" t="s">
        <v>899</v>
      </c>
      <c r="D435" s="2" t="s">
        <v>108</v>
      </c>
      <c r="E435" s="2" t="s">
        <v>80</v>
      </c>
      <c r="F435" s="2" t="s">
        <v>866</v>
      </c>
      <c r="G435" s="2" t="s">
        <v>150</v>
      </c>
      <c r="H435" s="2">
        <v>3</v>
      </c>
      <c r="I435" s="2">
        <v>1838.37</v>
      </c>
      <c r="J435" s="2">
        <v>919.19</v>
      </c>
      <c r="K435" s="2">
        <v>0</v>
      </c>
      <c r="L435" s="2">
        <v>5515.12</v>
      </c>
    </row>
    <row r="436" spans="1:12" ht="15" customHeight="1" x14ac:dyDescent="0.3">
      <c r="A436" s="2">
        <v>100435</v>
      </c>
      <c r="B436" s="2" t="s">
        <v>588</v>
      </c>
      <c r="C436" s="2" t="s">
        <v>900</v>
      </c>
      <c r="D436" s="2" t="s">
        <v>53</v>
      </c>
      <c r="E436" s="2" t="s">
        <v>128</v>
      </c>
      <c r="F436" s="2" t="s">
        <v>578</v>
      </c>
      <c r="G436" s="2" t="s">
        <v>229</v>
      </c>
      <c r="H436" s="2">
        <v>3</v>
      </c>
      <c r="I436" s="2">
        <v>14162.66</v>
      </c>
      <c r="J436" s="2">
        <v>8497.6</v>
      </c>
      <c r="K436" s="2">
        <v>0</v>
      </c>
      <c r="L436" s="2">
        <v>42487.98</v>
      </c>
    </row>
    <row r="437" spans="1:12" ht="15" customHeight="1" x14ac:dyDescent="0.3">
      <c r="A437" s="2">
        <v>100436</v>
      </c>
      <c r="B437" s="2" t="s">
        <v>901</v>
      </c>
      <c r="C437" s="2" t="s">
        <v>902</v>
      </c>
      <c r="D437" s="2" t="s">
        <v>160</v>
      </c>
      <c r="E437" s="2" t="s">
        <v>21</v>
      </c>
      <c r="F437" s="2" t="s">
        <v>578</v>
      </c>
      <c r="G437" s="2" t="s">
        <v>23</v>
      </c>
      <c r="H437" s="2">
        <v>2</v>
      </c>
      <c r="I437" s="2">
        <v>9803.56</v>
      </c>
      <c r="J437" s="2">
        <v>6078.2</v>
      </c>
      <c r="K437" s="2">
        <v>0.15</v>
      </c>
      <c r="L437" s="2">
        <v>16666.05</v>
      </c>
    </row>
    <row r="438" spans="1:12" ht="15" customHeight="1" x14ac:dyDescent="0.3">
      <c r="A438" s="2">
        <v>100437</v>
      </c>
      <c r="B438" s="2" t="s">
        <v>741</v>
      </c>
      <c r="C438" s="2" t="s">
        <v>903</v>
      </c>
      <c r="D438" s="2" t="s">
        <v>155</v>
      </c>
      <c r="E438" s="2" t="s">
        <v>27</v>
      </c>
      <c r="F438" s="2" t="s">
        <v>99</v>
      </c>
      <c r="G438" s="2" t="s">
        <v>67</v>
      </c>
      <c r="H438" s="2">
        <v>1</v>
      </c>
      <c r="I438" s="2">
        <v>7134.51</v>
      </c>
      <c r="J438" s="2">
        <v>4423.3999999999996</v>
      </c>
      <c r="K438" s="2">
        <v>0.05</v>
      </c>
      <c r="L438" s="2">
        <v>6777.78</v>
      </c>
    </row>
    <row r="439" spans="1:12" ht="15" customHeight="1" x14ac:dyDescent="0.3">
      <c r="A439" s="2">
        <v>100438</v>
      </c>
      <c r="B439" s="2" t="s">
        <v>904</v>
      </c>
      <c r="C439" s="2" t="s">
        <v>905</v>
      </c>
      <c r="D439" s="2" t="s">
        <v>121</v>
      </c>
      <c r="E439" s="2" t="s">
        <v>124</v>
      </c>
      <c r="F439" s="2" t="s">
        <v>49</v>
      </c>
      <c r="G439" s="2" t="s">
        <v>50</v>
      </c>
      <c r="H439" s="2">
        <v>6</v>
      </c>
      <c r="I439" s="2">
        <v>120.83</v>
      </c>
      <c r="J439" s="2">
        <v>54.38</v>
      </c>
      <c r="K439" s="2">
        <v>0.1</v>
      </c>
      <c r="L439" s="2">
        <v>652.51</v>
      </c>
    </row>
    <row r="440" spans="1:12" ht="15" customHeight="1" x14ac:dyDescent="0.3">
      <c r="A440" s="2">
        <v>100439</v>
      </c>
      <c r="B440" s="2" t="s">
        <v>433</v>
      </c>
      <c r="C440" s="2" t="s">
        <v>906</v>
      </c>
      <c r="D440" s="2" t="s">
        <v>26</v>
      </c>
      <c r="E440" s="2" t="s">
        <v>124</v>
      </c>
      <c r="F440" s="2" t="s">
        <v>199</v>
      </c>
      <c r="G440" s="2" t="s">
        <v>200</v>
      </c>
      <c r="H440" s="2">
        <v>10</v>
      </c>
      <c r="I440" s="2">
        <v>175.85</v>
      </c>
      <c r="J440" s="2">
        <v>84.41</v>
      </c>
      <c r="K440" s="2">
        <v>0.15</v>
      </c>
      <c r="L440" s="2">
        <v>1494.71</v>
      </c>
    </row>
    <row r="441" spans="1:12" ht="15" customHeight="1" x14ac:dyDescent="0.3">
      <c r="A441" s="2">
        <v>100440</v>
      </c>
      <c r="B441" s="2" t="s">
        <v>907</v>
      </c>
      <c r="C441" s="2" t="s">
        <v>908</v>
      </c>
      <c r="D441" s="2" t="s">
        <v>53</v>
      </c>
      <c r="E441" s="2" t="s">
        <v>21</v>
      </c>
      <c r="F441" s="2" t="s">
        <v>418</v>
      </c>
      <c r="G441" s="2" t="s">
        <v>87</v>
      </c>
      <c r="H441" s="2">
        <v>5</v>
      </c>
      <c r="I441" s="2">
        <v>61777.77</v>
      </c>
      <c r="J441" s="2">
        <v>37066.660000000003</v>
      </c>
      <c r="K441" s="2">
        <v>0</v>
      </c>
      <c r="L441" s="2">
        <v>308888.87</v>
      </c>
    </row>
    <row r="442" spans="1:12" ht="15" customHeight="1" x14ac:dyDescent="0.3">
      <c r="A442" s="2">
        <v>100441</v>
      </c>
      <c r="B442" s="2" t="s">
        <v>909</v>
      </c>
      <c r="C442" s="2" t="s">
        <v>910</v>
      </c>
      <c r="D442" s="2" t="s">
        <v>64</v>
      </c>
      <c r="E442" s="2" t="s">
        <v>85</v>
      </c>
      <c r="F442" s="2" t="s">
        <v>165</v>
      </c>
      <c r="G442" s="2" t="s">
        <v>23</v>
      </c>
      <c r="H442" s="2">
        <v>12</v>
      </c>
      <c r="I442" s="2">
        <v>10104.01</v>
      </c>
      <c r="J442" s="2">
        <v>6264.49</v>
      </c>
      <c r="K442" s="2">
        <v>0.1</v>
      </c>
      <c r="L442" s="2">
        <v>109123.35</v>
      </c>
    </row>
    <row r="443" spans="1:12" ht="15" customHeight="1" x14ac:dyDescent="0.3">
      <c r="A443" s="2">
        <v>100442</v>
      </c>
      <c r="B443" s="2" t="s">
        <v>36</v>
      </c>
      <c r="C443" s="2" t="s">
        <v>883</v>
      </c>
      <c r="D443" s="2" t="s">
        <v>38</v>
      </c>
      <c r="E443" s="2" t="s">
        <v>74</v>
      </c>
      <c r="F443" s="2" t="s">
        <v>418</v>
      </c>
      <c r="G443" s="2" t="s">
        <v>90</v>
      </c>
      <c r="H443" s="2">
        <v>11</v>
      </c>
      <c r="I443" s="2">
        <v>43440.65</v>
      </c>
      <c r="J443" s="2">
        <v>28236.42</v>
      </c>
      <c r="K443" s="2">
        <v>0</v>
      </c>
      <c r="L443" s="2">
        <v>477847.12</v>
      </c>
    </row>
    <row r="444" spans="1:12" ht="15" customHeight="1" x14ac:dyDescent="0.3">
      <c r="A444" s="2">
        <v>100443</v>
      </c>
      <c r="B444" s="2" t="s">
        <v>911</v>
      </c>
      <c r="C444" s="2" t="s">
        <v>912</v>
      </c>
      <c r="D444" s="2" t="s">
        <v>209</v>
      </c>
      <c r="E444" s="2" t="s">
        <v>39</v>
      </c>
      <c r="F444" s="2" t="s">
        <v>378</v>
      </c>
      <c r="G444" s="2" t="s">
        <v>29</v>
      </c>
      <c r="H444" s="2">
        <v>1</v>
      </c>
      <c r="I444" s="2">
        <v>4614.8900000000003</v>
      </c>
      <c r="J444" s="2">
        <v>2907.38</v>
      </c>
      <c r="K444" s="2">
        <v>0.2</v>
      </c>
      <c r="L444" s="2">
        <v>3691.91</v>
      </c>
    </row>
    <row r="445" spans="1:12" ht="15" customHeight="1" x14ac:dyDescent="0.3">
      <c r="A445" s="2">
        <v>100444</v>
      </c>
      <c r="B445" s="2" t="s">
        <v>913</v>
      </c>
      <c r="C445" s="2" t="s">
        <v>914</v>
      </c>
      <c r="D445" s="2" t="s">
        <v>92</v>
      </c>
      <c r="E445" s="2" t="s">
        <v>93</v>
      </c>
      <c r="F445" s="2" t="s">
        <v>276</v>
      </c>
      <c r="G445" s="2" t="s">
        <v>95</v>
      </c>
      <c r="H445" s="2">
        <v>7</v>
      </c>
      <c r="I445" s="2">
        <v>10479.56</v>
      </c>
      <c r="J445" s="2">
        <v>6078.14</v>
      </c>
      <c r="K445" s="2">
        <v>0.1</v>
      </c>
      <c r="L445" s="2"/>
    </row>
    <row r="446" spans="1:12" ht="15" customHeight="1" x14ac:dyDescent="0.3">
      <c r="A446" s="2">
        <v>100445</v>
      </c>
      <c r="B446" s="2" t="s">
        <v>915</v>
      </c>
      <c r="C446" s="2" t="s">
        <v>916</v>
      </c>
      <c r="D446" s="2" t="s">
        <v>121</v>
      </c>
      <c r="E446" s="2" t="s">
        <v>54</v>
      </c>
      <c r="F446" s="2" t="s">
        <v>156</v>
      </c>
      <c r="G446" s="2" t="s">
        <v>157</v>
      </c>
      <c r="H446" s="2">
        <v>1</v>
      </c>
      <c r="I446" s="2">
        <v>673.28</v>
      </c>
      <c r="J446" s="2">
        <v>302.98</v>
      </c>
      <c r="K446" s="2">
        <v>0.15</v>
      </c>
      <c r="L446" s="2">
        <v>572.29</v>
      </c>
    </row>
    <row r="447" spans="1:12" ht="15" customHeight="1" x14ac:dyDescent="0.3">
      <c r="A447" s="2">
        <v>100446</v>
      </c>
      <c r="B447" s="2" t="s">
        <v>917</v>
      </c>
      <c r="C447" s="2" t="s">
        <v>918</v>
      </c>
      <c r="D447" s="2" t="s">
        <v>79</v>
      </c>
      <c r="E447" s="2" t="s">
        <v>181</v>
      </c>
      <c r="F447" s="2" t="s">
        <v>205</v>
      </c>
      <c r="G447" s="2" t="s">
        <v>175</v>
      </c>
      <c r="H447" s="2">
        <v>9</v>
      </c>
      <c r="I447" s="2">
        <v>257.33999999999997</v>
      </c>
      <c r="J447" s="2">
        <v>128.66999999999999</v>
      </c>
      <c r="K447" s="2">
        <v>0</v>
      </c>
      <c r="L447" s="2">
        <v>2316.04</v>
      </c>
    </row>
    <row r="448" spans="1:12" ht="15" customHeight="1" x14ac:dyDescent="0.3">
      <c r="A448" s="2">
        <v>100447</v>
      </c>
      <c r="B448" s="2" t="s">
        <v>582</v>
      </c>
      <c r="C448" s="2" t="s">
        <v>919</v>
      </c>
      <c r="D448" s="2" t="s">
        <v>160</v>
      </c>
      <c r="E448" s="2" t="s">
        <v>65</v>
      </c>
      <c r="F448" s="2" t="s">
        <v>104</v>
      </c>
      <c r="G448" s="2" t="s">
        <v>116</v>
      </c>
      <c r="H448" s="2">
        <v>1</v>
      </c>
      <c r="I448" s="2">
        <v>3467.55</v>
      </c>
      <c r="J448" s="2">
        <v>2080.5300000000002</v>
      </c>
      <c r="K448" s="2">
        <v>0.1</v>
      </c>
      <c r="L448" s="2">
        <v>3120.79</v>
      </c>
    </row>
    <row r="449" spans="1:12" ht="15" customHeight="1" x14ac:dyDescent="0.3">
      <c r="A449" s="2">
        <v>100448</v>
      </c>
      <c r="B449" s="2" t="s">
        <v>271</v>
      </c>
      <c r="C449" s="2" t="s">
        <v>920</v>
      </c>
      <c r="D449" s="2" t="s">
        <v>59</v>
      </c>
      <c r="E449" s="2" t="s">
        <v>124</v>
      </c>
      <c r="F449" s="2" t="s">
        <v>49</v>
      </c>
      <c r="G449" s="2" t="s">
        <v>50</v>
      </c>
      <c r="H449" s="2">
        <v>12</v>
      </c>
      <c r="I449" s="2">
        <v>120.59</v>
      </c>
      <c r="J449" s="2">
        <v>54.27</v>
      </c>
      <c r="K449" s="2">
        <v>0.1</v>
      </c>
      <c r="L449" s="2">
        <v>1302.42</v>
      </c>
    </row>
    <row r="450" spans="1:12" ht="15" customHeight="1" x14ac:dyDescent="0.3">
      <c r="A450" s="2">
        <v>100449</v>
      </c>
      <c r="B450" s="2" t="s">
        <v>215</v>
      </c>
      <c r="C450" s="2" t="s">
        <v>921</v>
      </c>
      <c r="D450" s="2" t="s">
        <v>20</v>
      </c>
      <c r="E450" s="2" t="s">
        <v>54</v>
      </c>
      <c r="F450" s="2" t="s">
        <v>235</v>
      </c>
      <c r="G450" s="2" t="s">
        <v>150</v>
      </c>
      <c r="H450" s="2">
        <v>12</v>
      </c>
      <c r="I450" s="2">
        <v>2049.2800000000002</v>
      </c>
      <c r="J450" s="2">
        <v>1024.6400000000001</v>
      </c>
      <c r="K450" s="2">
        <v>0.1</v>
      </c>
      <c r="L450" s="2">
        <v>22132.26</v>
      </c>
    </row>
    <row r="451" spans="1:12" ht="15" customHeight="1" x14ac:dyDescent="0.3">
      <c r="A451" s="2">
        <v>100450</v>
      </c>
      <c r="B451" s="2" t="s">
        <v>674</v>
      </c>
      <c r="C451" s="2" t="s">
        <v>922</v>
      </c>
      <c r="D451" s="2" t="s">
        <v>121</v>
      </c>
      <c r="E451" s="2" t="s">
        <v>21</v>
      </c>
      <c r="F451" s="2" t="s">
        <v>295</v>
      </c>
      <c r="G451" s="2" t="s">
        <v>166</v>
      </c>
      <c r="H451" s="2">
        <v>10</v>
      </c>
      <c r="I451" s="2">
        <v>20475.68</v>
      </c>
      <c r="J451" s="2">
        <v>11875.89</v>
      </c>
      <c r="K451" s="2">
        <v>0.2</v>
      </c>
      <c r="L451" s="2">
        <v>163805.41</v>
      </c>
    </row>
    <row r="452" spans="1:12" ht="15" customHeight="1" x14ac:dyDescent="0.3">
      <c r="A452" s="2">
        <v>100190</v>
      </c>
      <c r="B452" s="2" t="s">
        <v>510</v>
      </c>
      <c r="C452" s="2" t="s">
        <v>511</v>
      </c>
      <c r="D452" s="2" t="s">
        <v>92</v>
      </c>
      <c r="E452" s="2" t="s">
        <v>128</v>
      </c>
      <c r="F452" s="2" t="s">
        <v>145</v>
      </c>
      <c r="G452" s="2" t="s">
        <v>193</v>
      </c>
      <c r="H452" s="2">
        <v>6</v>
      </c>
      <c r="I452" s="2">
        <v>3423.15</v>
      </c>
      <c r="J452" s="2">
        <v>1711.58</v>
      </c>
      <c r="K452" s="2">
        <v>0.1</v>
      </c>
      <c r="L452" s="2">
        <v>18485.02</v>
      </c>
    </row>
    <row r="453" spans="1:12" ht="15" customHeight="1" x14ac:dyDescent="0.3">
      <c r="A453" s="2">
        <v>100347</v>
      </c>
      <c r="B453" s="2" t="s">
        <v>768</v>
      </c>
      <c r="C453" s="2" t="s">
        <v>769</v>
      </c>
      <c r="D453" s="2" t="s">
        <v>26</v>
      </c>
      <c r="E453" s="2" t="s">
        <v>232</v>
      </c>
      <c r="F453" s="2" t="s">
        <v>60</v>
      </c>
      <c r="G453" s="2" t="s">
        <v>322</v>
      </c>
      <c r="H453" s="2">
        <v>5</v>
      </c>
      <c r="I453" s="2">
        <v>506.06</v>
      </c>
      <c r="J453" s="2">
        <v>253.03</v>
      </c>
      <c r="K453" s="2">
        <v>0.05</v>
      </c>
      <c r="L453" s="2">
        <v>2403.81</v>
      </c>
    </row>
    <row r="454" spans="1:12" ht="15" customHeight="1" x14ac:dyDescent="0.3">
      <c r="A454" s="2">
        <v>100270</v>
      </c>
      <c r="B454" s="2" t="s">
        <v>646</v>
      </c>
      <c r="C454" s="2" t="s">
        <v>647</v>
      </c>
      <c r="D454" s="2" t="s">
        <v>44</v>
      </c>
      <c r="E454" s="2" t="s">
        <v>27</v>
      </c>
      <c r="F454" s="2" t="s">
        <v>371</v>
      </c>
      <c r="G454" s="2" t="s">
        <v>67</v>
      </c>
      <c r="H454" s="2">
        <v>5</v>
      </c>
      <c r="I454" s="2">
        <v>7487.17</v>
      </c>
      <c r="J454" s="2">
        <v>4642.05</v>
      </c>
      <c r="K454" s="2">
        <v>0.1</v>
      </c>
      <c r="L454" s="2">
        <v>33692.28</v>
      </c>
    </row>
    <row r="455" spans="1:12" ht="15" customHeight="1" x14ac:dyDescent="0.3">
      <c r="A455" s="2">
        <v>100207</v>
      </c>
      <c r="B455" s="2" t="s">
        <v>541</v>
      </c>
      <c r="C455" s="2" t="s">
        <v>542</v>
      </c>
      <c r="D455" s="2" t="s">
        <v>32</v>
      </c>
      <c r="E455" s="2" t="s">
        <v>124</v>
      </c>
      <c r="F455" s="2" t="s">
        <v>205</v>
      </c>
      <c r="G455" s="2" t="s">
        <v>175</v>
      </c>
      <c r="H455" s="2">
        <v>2</v>
      </c>
      <c r="I455" s="2">
        <v>248.43</v>
      </c>
      <c r="J455" s="2">
        <v>124.21</v>
      </c>
      <c r="K455" s="2">
        <v>0.05</v>
      </c>
      <c r="L455" s="2">
        <v>472.02</v>
      </c>
    </row>
    <row r="456" spans="1:12" ht="15" customHeight="1" x14ac:dyDescent="0.3">
      <c r="A456" s="2">
        <v>100302</v>
      </c>
      <c r="B456" s="2" t="s">
        <v>698</v>
      </c>
      <c r="C456" s="2" t="s">
        <v>699</v>
      </c>
      <c r="D456" s="2" t="s">
        <v>26</v>
      </c>
      <c r="E456" s="2" t="s">
        <v>85</v>
      </c>
      <c r="F456" s="2" t="s">
        <v>165</v>
      </c>
      <c r="G456" s="2" t="s">
        <v>23</v>
      </c>
      <c r="H456" s="2">
        <v>1</v>
      </c>
      <c r="I456" s="2">
        <v>9375.76</v>
      </c>
      <c r="J456" s="2">
        <v>5812.97</v>
      </c>
      <c r="K456" s="2">
        <v>0.2</v>
      </c>
      <c r="L456" s="2"/>
    </row>
    <row r="457" spans="1:12" ht="15" customHeight="1" x14ac:dyDescent="0.3">
      <c r="A457" s="2">
        <v>100287</v>
      </c>
      <c r="B457" s="2" t="s">
        <v>674</v>
      </c>
      <c r="C457" s="2" t="s">
        <v>675</v>
      </c>
      <c r="D457" s="2" t="s">
        <v>121</v>
      </c>
      <c r="E457" s="2" t="s">
        <v>85</v>
      </c>
      <c r="F457" s="2" t="s">
        <v>109</v>
      </c>
      <c r="G457" s="2" t="s">
        <v>110</v>
      </c>
      <c r="H457" s="2">
        <v>5</v>
      </c>
      <c r="I457" s="2">
        <v>1267.83</v>
      </c>
      <c r="J457" s="2">
        <v>760.7</v>
      </c>
      <c r="K457" s="2">
        <v>0.1</v>
      </c>
      <c r="L457" s="2">
        <v>5705.23</v>
      </c>
    </row>
    <row r="458" spans="1:12" ht="15" customHeight="1" x14ac:dyDescent="0.3">
      <c r="A458" s="2">
        <v>100266</v>
      </c>
      <c r="B458" s="2" t="s">
        <v>639</v>
      </c>
      <c r="C458" s="2" t="s">
        <v>640</v>
      </c>
      <c r="D458" s="2" t="s">
        <v>32</v>
      </c>
      <c r="E458" s="2" t="s">
        <v>93</v>
      </c>
      <c r="F458" s="2" t="s">
        <v>94</v>
      </c>
      <c r="G458" s="2" t="s">
        <v>95</v>
      </c>
      <c r="H458" s="2">
        <v>12</v>
      </c>
      <c r="I458" s="2">
        <v>9564.3799999999992</v>
      </c>
      <c r="J458" s="2">
        <v>5547.34</v>
      </c>
      <c r="K458" s="2">
        <v>0.15</v>
      </c>
      <c r="L458" s="2">
        <v>97556.63</v>
      </c>
    </row>
    <row r="459" spans="1:12" ht="15" customHeight="1" x14ac:dyDescent="0.3">
      <c r="A459" s="2">
        <v>100399</v>
      </c>
      <c r="B459" s="2" t="s">
        <v>845</v>
      </c>
      <c r="C459" s="2" t="s">
        <v>846</v>
      </c>
      <c r="D459" s="2" t="s">
        <v>64</v>
      </c>
      <c r="E459" s="2" t="s">
        <v>128</v>
      </c>
      <c r="F459" s="2" t="s">
        <v>86</v>
      </c>
      <c r="G459" s="2" t="s">
        <v>87</v>
      </c>
      <c r="H459" s="2">
        <v>2</v>
      </c>
      <c r="I459" s="2">
        <v>61992.06</v>
      </c>
      <c r="J459" s="2">
        <v>37195.230000000003</v>
      </c>
      <c r="K459" s="2">
        <v>0.05</v>
      </c>
      <c r="L459" s="2">
        <v>117784.91</v>
      </c>
    </row>
    <row r="460" spans="1:12" ht="15" customHeight="1" x14ac:dyDescent="0.3">
      <c r="A460" s="2">
        <v>100203</v>
      </c>
      <c r="B460" s="2" t="s">
        <v>534</v>
      </c>
      <c r="C460" s="2" t="s">
        <v>365</v>
      </c>
      <c r="D460" s="2" t="s">
        <v>20</v>
      </c>
      <c r="E460" s="2" t="s">
        <v>93</v>
      </c>
      <c r="F460" s="2" t="s">
        <v>535</v>
      </c>
      <c r="G460" s="2" t="s">
        <v>302</v>
      </c>
      <c r="H460" s="2">
        <v>1</v>
      </c>
      <c r="I460" s="2">
        <v>6091.09</v>
      </c>
      <c r="J460" s="2">
        <v>3654.65</v>
      </c>
      <c r="K460" s="2">
        <v>0.1</v>
      </c>
      <c r="L460" s="2">
        <v>5481.98</v>
      </c>
    </row>
    <row r="461" spans="1:12" ht="15" customHeight="1" x14ac:dyDescent="0.3">
      <c r="A461" s="2">
        <v>100447</v>
      </c>
      <c r="B461" s="2" t="s">
        <v>582</v>
      </c>
      <c r="C461" s="2" t="s">
        <v>919</v>
      </c>
      <c r="D461" s="2" t="s">
        <v>160</v>
      </c>
      <c r="E461" s="2" t="s">
        <v>65</v>
      </c>
      <c r="F461" s="2" t="s">
        <v>104</v>
      </c>
      <c r="G461" s="2" t="s">
        <v>116</v>
      </c>
      <c r="H461" s="2">
        <v>1</v>
      </c>
      <c r="I461" s="2">
        <v>3467.55</v>
      </c>
      <c r="J461" s="2">
        <v>2080.5300000000002</v>
      </c>
      <c r="K461" s="2">
        <v>0.1</v>
      </c>
      <c r="L461" s="2">
        <v>3120.79</v>
      </c>
    </row>
    <row r="462" spans="1:12" ht="15" customHeight="1" x14ac:dyDescent="0.3">
      <c r="A462" s="2">
        <v>100136</v>
      </c>
      <c r="B462" s="2" t="s">
        <v>312</v>
      </c>
      <c r="C462" s="2" t="s">
        <v>413</v>
      </c>
      <c r="D462" s="2" t="s">
        <v>92</v>
      </c>
      <c r="E462" s="2" t="s">
        <v>85</v>
      </c>
      <c r="F462" s="2" t="s">
        <v>226</v>
      </c>
      <c r="G462" s="2" t="s">
        <v>343</v>
      </c>
      <c r="H462" s="2">
        <v>9</v>
      </c>
      <c r="I462" s="2">
        <v>38132.01</v>
      </c>
      <c r="J462" s="2">
        <v>25929.77</v>
      </c>
      <c r="K462" s="2"/>
      <c r="L462" s="2">
        <v>343188.11</v>
      </c>
    </row>
    <row r="463" spans="1:12" ht="15" customHeight="1" x14ac:dyDescent="0.3">
      <c r="A463" s="2">
        <v>100300</v>
      </c>
      <c r="B463" s="2" t="s">
        <v>387</v>
      </c>
      <c r="C463" s="2" t="s">
        <v>695</v>
      </c>
      <c r="D463" s="2" t="s">
        <v>92</v>
      </c>
      <c r="E463" s="2" t="s">
        <v>27</v>
      </c>
      <c r="F463" s="2" t="s">
        <v>28</v>
      </c>
      <c r="G463" s="2" t="s">
        <v>70</v>
      </c>
      <c r="H463" s="2">
        <v>4</v>
      </c>
      <c r="I463" s="2">
        <v>5465.37</v>
      </c>
      <c r="J463" s="2">
        <v>3279.22</v>
      </c>
      <c r="K463" s="2">
        <v>0.05</v>
      </c>
      <c r="L463" s="2">
        <v>20768.41</v>
      </c>
    </row>
    <row r="464" spans="1:12" ht="15" customHeight="1" x14ac:dyDescent="0.3">
      <c r="A464" s="2">
        <v>100256</v>
      </c>
      <c r="B464" s="2" t="s">
        <v>402</v>
      </c>
      <c r="C464" s="2" t="s">
        <v>623</v>
      </c>
      <c r="D464" s="2" t="s">
        <v>92</v>
      </c>
      <c r="E464" s="2" t="s">
        <v>124</v>
      </c>
      <c r="F464" s="2" t="s">
        <v>556</v>
      </c>
      <c r="G464" s="2" t="s">
        <v>175</v>
      </c>
      <c r="H464" s="2">
        <v>3</v>
      </c>
      <c r="I464" s="2">
        <v>245.77</v>
      </c>
      <c r="J464" s="2">
        <v>122.89</v>
      </c>
      <c r="K464" s="2">
        <v>0.2</v>
      </c>
      <c r="L464" s="2">
        <v>589.85</v>
      </c>
    </row>
    <row r="465" spans="1:12" ht="15" customHeight="1" x14ac:dyDescent="0.3">
      <c r="A465" s="2">
        <v>100326</v>
      </c>
      <c r="B465" s="2" t="s">
        <v>224</v>
      </c>
      <c r="C465" s="2" t="s">
        <v>736</v>
      </c>
      <c r="D465" s="2" t="s">
        <v>64</v>
      </c>
      <c r="E465" s="2" t="s">
        <v>232</v>
      </c>
      <c r="F465" s="2" t="s">
        <v>401</v>
      </c>
      <c r="G465" s="2" t="s">
        <v>338</v>
      </c>
      <c r="H465" s="2">
        <v>9</v>
      </c>
      <c r="I465" s="2">
        <v>155.69999999999999</v>
      </c>
      <c r="J465" s="2">
        <v>70.06</v>
      </c>
      <c r="K465" s="2">
        <v>0</v>
      </c>
      <c r="L465" s="2">
        <v>1401.26</v>
      </c>
    </row>
    <row r="466" spans="1:12" ht="15" customHeight="1" x14ac:dyDescent="0.3">
      <c r="A466" s="2">
        <v>100217</v>
      </c>
      <c r="B466" s="2" t="s">
        <v>495</v>
      </c>
      <c r="C466" s="2" t="s">
        <v>559</v>
      </c>
      <c r="D466" s="2" t="s">
        <v>38</v>
      </c>
      <c r="E466" s="2" t="s">
        <v>124</v>
      </c>
      <c r="F466" s="2" t="s">
        <v>309</v>
      </c>
      <c r="G466" s="2" t="s">
        <v>206</v>
      </c>
      <c r="H466" s="2">
        <v>8</v>
      </c>
      <c r="I466" s="2">
        <v>273.23</v>
      </c>
      <c r="J466" s="2">
        <v>136.62</v>
      </c>
      <c r="K466" s="2">
        <v>0</v>
      </c>
      <c r="L466" s="2"/>
    </row>
    <row r="467" spans="1:12" ht="15" customHeight="1" x14ac:dyDescent="0.3">
      <c r="A467" s="2">
        <v>100226</v>
      </c>
      <c r="B467" s="2" t="s">
        <v>429</v>
      </c>
      <c r="C467" s="2" t="s">
        <v>575</v>
      </c>
      <c r="D467" s="2" t="s">
        <v>102</v>
      </c>
      <c r="E467" s="2" t="s">
        <v>54</v>
      </c>
      <c r="F467" s="2" t="s">
        <v>156</v>
      </c>
      <c r="G467" s="2" t="s">
        <v>56</v>
      </c>
      <c r="H467" s="2">
        <v>11</v>
      </c>
      <c r="I467" s="2">
        <v>440.47</v>
      </c>
      <c r="J467" s="2">
        <v>198.21</v>
      </c>
      <c r="K467" s="2">
        <v>0.05</v>
      </c>
      <c r="L467" s="2">
        <v>4602.93</v>
      </c>
    </row>
    <row r="468" spans="1:12" ht="15" customHeight="1" x14ac:dyDescent="0.3">
      <c r="A468" s="2">
        <v>100353</v>
      </c>
      <c r="B468" s="2" t="s">
        <v>748</v>
      </c>
      <c r="C468" s="2" t="s">
        <v>780</v>
      </c>
      <c r="D468" s="2" t="s">
        <v>38</v>
      </c>
      <c r="E468" s="2" t="s">
        <v>103</v>
      </c>
      <c r="F468" s="2" t="s">
        <v>66</v>
      </c>
      <c r="G468" s="2" t="s">
        <v>41</v>
      </c>
      <c r="H468" s="2">
        <v>12</v>
      </c>
      <c r="I468" s="2">
        <v>5492.95</v>
      </c>
      <c r="J468" s="2">
        <v>3570.42</v>
      </c>
      <c r="K468" s="2">
        <v>0.1</v>
      </c>
      <c r="L468" s="2">
        <v>59323.88</v>
      </c>
    </row>
    <row r="469" spans="1:12" ht="15" customHeight="1" x14ac:dyDescent="0.3">
      <c r="A469" s="2">
        <v>100251</v>
      </c>
      <c r="B469" s="2" t="s">
        <v>614</v>
      </c>
      <c r="C469" s="2" t="s">
        <v>615</v>
      </c>
      <c r="D469" s="2" t="s">
        <v>155</v>
      </c>
      <c r="E469" s="2" t="s">
        <v>74</v>
      </c>
      <c r="F469" s="2" t="s">
        <v>132</v>
      </c>
      <c r="G469" s="2" t="s">
        <v>110</v>
      </c>
      <c r="H469" s="2">
        <v>3</v>
      </c>
      <c r="I469" s="2">
        <v>1175.8800000000001</v>
      </c>
      <c r="J469" s="2">
        <v>705.53</v>
      </c>
      <c r="K469" s="2">
        <v>0.1</v>
      </c>
      <c r="L469" s="2">
        <v>3174.87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51"/>
  <sheetViews>
    <sheetView zoomScaleNormal="100" workbookViewId="0">
      <pane ySplit="1" topLeftCell="A43" activePane="bottomLeft" state="frozen"/>
      <selection pane="bottomLeft" activeCell="D104" sqref="D104"/>
    </sheetView>
  </sheetViews>
  <sheetFormatPr defaultColWidth="8.6640625" defaultRowHeight="14.4" x14ac:dyDescent="0.3"/>
  <cols>
    <col min="1" max="1" width="9.109375" bestFit="1" customWidth="1"/>
    <col min="2" max="2" width="11.33203125" bestFit="1" customWidth="1"/>
    <col min="3" max="3" width="9.109375" bestFit="1" customWidth="1"/>
    <col min="4" max="4" width="16.88671875" bestFit="1" customWidth="1"/>
    <col min="5" max="5" width="7.88671875" bestFit="1" customWidth="1"/>
    <col min="6" max="6" width="13.44140625" bestFit="1" customWidth="1"/>
    <col min="7" max="7" width="14.44140625" bestFit="1" customWidth="1"/>
    <col min="8" max="8" width="18.44140625" bestFit="1" customWidth="1"/>
    <col min="9" max="9" width="9.21875" bestFit="1" customWidth="1"/>
    <col min="10" max="10" width="10.44140625" bestFit="1" customWidth="1"/>
    <col min="11" max="11" width="11" bestFit="1" customWidth="1"/>
    <col min="12" max="12" width="9.5546875" bestFit="1" customWidth="1"/>
    <col min="13" max="14" width="8.109375" bestFit="1" customWidth="1"/>
    <col min="15" max="15" width="15.88671875" bestFit="1" customWidth="1"/>
  </cols>
  <sheetData>
    <row r="1" spans="1:15" ht="15" customHeight="1" x14ac:dyDescent="0.3">
      <c r="A1" s="1" t="s">
        <v>6</v>
      </c>
      <c r="B1" s="1" t="s">
        <v>7</v>
      </c>
      <c r="C1" s="1" t="s">
        <v>923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924</v>
      </c>
      <c r="O1" s="1" t="s">
        <v>925</v>
      </c>
    </row>
    <row r="2" spans="1:15" ht="15" customHeight="1" x14ac:dyDescent="0.3">
      <c r="A2" s="2">
        <f>Raw_Data!A2</f>
        <v>100001</v>
      </c>
      <c r="B2" s="3">
        <f>DATEVALUE(Raw_Data!B2)</f>
        <v>45620</v>
      </c>
      <c r="C2" s="2" t="str">
        <f t="shared" ref="C2:C65" si="0">TEXT(B2,"mmm-yyyy")</f>
        <v>Nov-2024</v>
      </c>
      <c r="D2" s="2" t="str">
        <f>PROPER(TRIM(Raw_Data!C2))</f>
        <v>Vikram Rao</v>
      </c>
      <c r="E2" s="2" t="str">
        <f>PROPER(TRIM(Raw_Data!D2))</f>
        <v>North</v>
      </c>
      <c r="F2" s="2" t="str">
        <f>PROPER(TRIM(Raw_Data!E2))</f>
        <v>Electronics</v>
      </c>
      <c r="G2" s="2" t="str">
        <f>PROPER(TRIM(Raw_Data!F2))</f>
        <v>Monitors</v>
      </c>
      <c r="H2" s="2" t="str">
        <f>Raw_Data!G2</f>
        <v>ViewClear 24</v>
      </c>
      <c r="I2" s="2">
        <f>Raw_Data!H2</f>
        <v>4</v>
      </c>
      <c r="J2" s="4">
        <f>Raw_Data!I2</f>
        <v>9197.33</v>
      </c>
      <c r="K2" s="4">
        <f>Raw_Data!J2</f>
        <v>5702.34</v>
      </c>
      <c r="L2" s="5">
        <f>IF(Raw_Data!K2="",0,Raw_Data!K2)</f>
        <v>0</v>
      </c>
      <c r="M2" s="4">
        <f t="shared" ref="M2:M65" si="1">ROUND(I2*J2*(1-L2),2)</f>
        <v>36789.32</v>
      </c>
      <c r="N2" s="4">
        <f t="shared" ref="N2:N65" si="2">ROUND(M2-(I2*K2),2)</f>
        <v>13979.96</v>
      </c>
      <c r="O2" s="6">
        <f t="shared" ref="O2:O65" si="3">IFERROR(N2/M2,0)</f>
        <v>0.3800005001451508</v>
      </c>
    </row>
    <row r="3" spans="1:15" ht="15" customHeight="1" x14ac:dyDescent="0.3">
      <c r="A3" s="2">
        <f>Raw_Data!A3</f>
        <v>100002</v>
      </c>
      <c r="B3" s="3" t="e">
        <f>DATEVALUE(Raw_Data!B3)</f>
        <v>#VALUE!</v>
      </c>
      <c r="C3" s="2" t="e">
        <f t="shared" si="0"/>
        <v>#VALUE!</v>
      </c>
      <c r="D3" s="2" t="str">
        <f>PROPER(TRIM(Raw_Data!C3))</f>
        <v>Riya Patel</v>
      </c>
      <c r="E3" s="2" t="str">
        <f>PROPER(TRIM(Raw_Data!D3))</f>
        <v>West</v>
      </c>
      <c r="F3" s="2" t="str">
        <f>PROPER(TRIM(Raw_Data!E3))</f>
        <v>Furniture</v>
      </c>
      <c r="G3" s="2" t="str">
        <f>PROPER(TRIM(Raw_Data!F3))</f>
        <v>Cabinets</v>
      </c>
      <c r="H3" s="2" t="str">
        <f>Raw_Data!G3</f>
        <v>StorageMax Wood</v>
      </c>
      <c r="I3" s="2">
        <f>Raw_Data!H3</f>
        <v>1</v>
      </c>
      <c r="J3" s="4">
        <f>Raw_Data!I3</f>
        <v>4928.63</v>
      </c>
      <c r="K3" s="4">
        <f>Raw_Data!J3</f>
        <v>3105.04</v>
      </c>
      <c r="L3" s="5">
        <f>IF(Raw_Data!K3="",0,Raw_Data!K3)</f>
        <v>0</v>
      </c>
      <c r="M3" s="4">
        <f t="shared" si="1"/>
        <v>4928.63</v>
      </c>
      <c r="N3" s="4">
        <f t="shared" si="2"/>
        <v>1823.59</v>
      </c>
      <c r="O3" s="6">
        <f t="shared" si="3"/>
        <v>0.36999937102196756</v>
      </c>
    </row>
    <row r="4" spans="1:15" ht="15" customHeight="1" x14ac:dyDescent="0.3">
      <c r="A4" s="2">
        <f>Raw_Data!A4</f>
        <v>100003</v>
      </c>
      <c r="B4" s="3" t="e">
        <f>DATEVALUE(Raw_Data!B4)</f>
        <v>#VALUE!</v>
      </c>
      <c r="C4" s="2" t="e">
        <f t="shared" si="0"/>
        <v>#VALUE!</v>
      </c>
      <c r="D4" s="2" t="str">
        <f>PROPER(TRIM(Raw_Data!C4))</f>
        <v>Simran Bhatt</v>
      </c>
      <c r="E4" s="2" t="str">
        <f>PROPER(TRIM(Raw_Data!D4))</f>
        <v>East</v>
      </c>
      <c r="F4" s="2" t="str">
        <f>PROPER(TRIM(Raw_Data!E4))</f>
        <v>Electronics</v>
      </c>
      <c r="G4" s="2" t="str">
        <f>PROPER(TRIM(Raw_Data!F4))</f>
        <v>Keyboards</v>
      </c>
      <c r="H4" s="2" t="str">
        <f>Raw_Data!G4</f>
        <v>GamerEdge RGB</v>
      </c>
      <c r="I4" s="2">
        <f>Raw_Data!H4</f>
        <v>2</v>
      </c>
      <c r="J4" s="4">
        <f>Raw_Data!I4</f>
        <v>3337.17</v>
      </c>
      <c r="K4" s="4">
        <f>Raw_Data!J4</f>
        <v>1668.58</v>
      </c>
      <c r="L4" s="5">
        <f>IF(Raw_Data!K4="",0,Raw_Data!K4)</f>
        <v>0.1</v>
      </c>
      <c r="M4" s="4">
        <f t="shared" si="1"/>
        <v>6006.91</v>
      </c>
      <c r="N4" s="4">
        <f t="shared" si="2"/>
        <v>2669.75</v>
      </c>
      <c r="O4" s="6">
        <f t="shared" si="3"/>
        <v>0.44444647913819252</v>
      </c>
    </row>
    <row r="5" spans="1:15" ht="15" customHeight="1" x14ac:dyDescent="0.3">
      <c r="A5" s="2">
        <f>Raw_Data!A5</f>
        <v>100004</v>
      </c>
      <c r="B5" s="3">
        <f>DATEVALUE(Raw_Data!B5)</f>
        <v>45449</v>
      </c>
      <c r="C5" s="2" t="str">
        <f t="shared" si="0"/>
        <v>Jun-2024</v>
      </c>
      <c r="D5" s="2" t="str">
        <f>PROPER(TRIM(Raw_Data!C5))</f>
        <v>Saanvi Iyer</v>
      </c>
      <c r="E5" s="2" t="str">
        <f>PROPER(TRIM(Raw_Data!D5))</f>
        <v>North</v>
      </c>
      <c r="F5" s="2" t="str">
        <f>PROPER(TRIM(Raw_Data!E5))</f>
        <v>Furniture</v>
      </c>
      <c r="G5" s="2" t="str">
        <f>PROPER(TRIM(Raw_Data!F5))</f>
        <v>Chairs</v>
      </c>
      <c r="H5" s="2" t="str">
        <f>Raw_Data!G5</f>
        <v>ClassicWood</v>
      </c>
      <c r="I5" s="2">
        <f>Raw_Data!H5</f>
        <v>5</v>
      </c>
      <c r="J5" s="4">
        <f>Raw_Data!I5</f>
        <v>5246.51</v>
      </c>
      <c r="K5" s="4">
        <f>Raw_Data!J5</f>
        <v>3410.23</v>
      </c>
      <c r="L5" s="5">
        <f>IF(Raw_Data!K5="",0,Raw_Data!K5)</f>
        <v>0.2</v>
      </c>
      <c r="M5" s="4">
        <f t="shared" si="1"/>
        <v>20986.04</v>
      </c>
      <c r="N5" s="4">
        <f t="shared" si="2"/>
        <v>3934.89</v>
      </c>
      <c r="O5" s="6">
        <f t="shared" si="3"/>
        <v>0.18750035738043003</v>
      </c>
    </row>
    <row r="6" spans="1:15" ht="15" customHeight="1" x14ac:dyDescent="0.3">
      <c r="A6" s="2">
        <f>Raw_Data!A6</f>
        <v>100005</v>
      </c>
      <c r="B6" s="3">
        <f>DATEVALUE(Raw_Data!B6)</f>
        <v>45644</v>
      </c>
      <c r="C6" s="2" t="str">
        <f t="shared" si="0"/>
        <v>Dec-2024</v>
      </c>
      <c r="D6" s="2" t="str">
        <f>PROPER(TRIM(Raw_Data!C6))</f>
        <v>Priya Kapoor</v>
      </c>
      <c r="E6" s="2" t="str">
        <f>PROPER(TRIM(Raw_Data!D6))</f>
        <v>South</v>
      </c>
      <c r="F6" s="2" t="str">
        <f>PROPER(TRIM(Raw_Data!E6))</f>
        <v>Furniture</v>
      </c>
      <c r="G6" s="2" t="str">
        <f>PROPER(TRIM(Raw_Data!F6))</f>
        <v>Cabinets</v>
      </c>
      <c r="H6" s="2" t="str">
        <f>Raw_Data!G6</f>
        <v>StorageMax Wood</v>
      </c>
      <c r="I6" s="2">
        <f>Raw_Data!H6</f>
        <v>5</v>
      </c>
      <c r="J6" s="4">
        <f>Raw_Data!I6</f>
        <v>5069.6000000000004</v>
      </c>
      <c r="K6" s="4">
        <f>Raw_Data!J6</f>
        <v>3193.85</v>
      </c>
      <c r="L6" s="5">
        <f>IF(Raw_Data!K6="",0,Raw_Data!K6)</f>
        <v>0.15</v>
      </c>
      <c r="M6" s="4">
        <f t="shared" si="1"/>
        <v>21545.8</v>
      </c>
      <c r="N6" s="4">
        <f t="shared" si="2"/>
        <v>5576.55</v>
      </c>
      <c r="O6" s="6">
        <f t="shared" si="3"/>
        <v>0.25882306528418536</v>
      </c>
    </row>
    <row r="7" spans="1:15" ht="15" customHeight="1" x14ac:dyDescent="0.3">
      <c r="A7" s="2">
        <f>Raw_Data!A7</f>
        <v>100006</v>
      </c>
      <c r="B7" s="3">
        <f>DATEVALUE(Raw_Data!B7)</f>
        <v>45420</v>
      </c>
      <c r="C7" s="2" t="str">
        <f t="shared" si="0"/>
        <v>May-2024</v>
      </c>
      <c r="D7" s="2" t="str">
        <f>PROPER(TRIM(Raw_Data!C7))</f>
        <v>Kabir Nair</v>
      </c>
      <c r="E7" s="2" t="str">
        <f>PROPER(TRIM(Raw_Data!D7))</f>
        <v>South</v>
      </c>
      <c r="F7" s="2" t="str">
        <f>PROPER(TRIM(Raw_Data!E7))</f>
        <v>Office Supplies</v>
      </c>
      <c r="G7" s="2" t="str">
        <f>PROPER(TRIM(Raw_Data!F7))</f>
        <v>Pens</v>
      </c>
      <c r="H7" s="2" t="str">
        <f>Raw_Data!G7</f>
        <v>InkFlow Gel Pack5</v>
      </c>
      <c r="I7" s="2">
        <f>Raw_Data!H7</f>
        <v>7</v>
      </c>
      <c r="J7" s="4">
        <f>Raw_Data!I7</f>
        <v>127.8</v>
      </c>
      <c r="K7" s="4">
        <f>Raw_Data!J7</f>
        <v>57.51</v>
      </c>
      <c r="L7" s="5">
        <f>IF(Raw_Data!K7="",0,Raw_Data!K7)</f>
        <v>0.15</v>
      </c>
      <c r="M7" s="4">
        <f t="shared" si="1"/>
        <v>760.41</v>
      </c>
      <c r="N7" s="4">
        <f t="shared" si="2"/>
        <v>357.84</v>
      </c>
      <c r="O7" s="6">
        <f t="shared" si="3"/>
        <v>0.47058823529411764</v>
      </c>
    </row>
    <row r="8" spans="1:15" ht="15" customHeight="1" x14ac:dyDescent="0.3">
      <c r="A8" s="2">
        <f>Raw_Data!A8</f>
        <v>100007</v>
      </c>
      <c r="B8" s="3">
        <f>DATEVALUE(Raw_Data!B8)</f>
        <v>45610</v>
      </c>
      <c r="C8" s="2" t="str">
        <f t="shared" si="0"/>
        <v>Nov-2024</v>
      </c>
      <c r="D8" s="2" t="str">
        <f>PROPER(TRIM(Raw_Data!C8))</f>
        <v>Myra Malhotra</v>
      </c>
      <c r="E8" s="2" t="str">
        <f>PROPER(TRIM(Raw_Data!D8))</f>
        <v>South</v>
      </c>
      <c r="F8" s="2" t="str">
        <f>PROPER(TRIM(Raw_Data!E8))</f>
        <v>Clothing</v>
      </c>
      <c r="G8" s="2" t="str">
        <f>PROPER(TRIM(Raw_Data!F8))</f>
        <v>T-Shirts</v>
      </c>
      <c r="H8" s="2" t="str">
        <f>Raw_Data!G8</f>
        <v>CottonBasic</v>
      </c>
      <c r="I8" s="2">
        <f>Raw_Data!H8</f>
        <v>2</v>
      </c>
      <c r="J8" s="4">
        <f>Raw_Data!I8</f>
        <v>436.44</v>
      </c>
      <c r="K8" s="4">
        <f>Raw_Data!J8</f>
        <v>196.4</v>
      </c>
      <c r="L8" s="5">
        <f>IF(Raw_Data!K8="",0,Raw_Data!K8)</f>
        <v>0</v>
      </c>
      <c r="M8" s="4">
        <f t="shared" si="1"/>
        <v>872.88</v>
      </c>
      <c r="N8" s="4">
        <f t="shared" si="2"/>
        <v>480.08</v>
      </c>
      <c r="O8" s="6">
        <f t="shared" si="3"/>
        <v>0.54999541746860969</v>
      </c>
    </row>
    <row r="9" spans="1:15" ht="15" customHeight="1" x14ac:dyDescent="0.3">
      <c r="A9" s="2">
        <f>Raw_Data!A9</f>
        <v>100008</v>
      </c>
      <c r="B9" s="3" t="e">
        <f>DATEVALUE(Raw_Data!B9)</f>
        <v>#VALUE!</v>
      </c>
      <c r="C9" s="2" t="e">
        <f t="shared" si="0"/>
        <v>#VALUE!</v>
      </c>
      <c r="D9" s="2" t="str">
        <f>PROPER(TRIM(Raw_Data!C9))</f>
        <v>Pooja Reddy</v>
      </c>
      <c r="E9" s="2" t="str">
        <f>PROPER(TRIM(Raw_Data!D9))</f>
        <v>North</v>
      </c>
      <c r="F9" s="2" t="str">
        <f>PROPER(TRIM(Raw_Data!E9))</f>
        <v>Office Supplies</v>
      </c>
      <c r="G9" s="2" t="str">
        <f>PROPER(TRIM(Raw_Data!F9))</f>
        <v>Staplers</v>
      </c>
      <c r="H9" s="2" t="str">
        <f>Raw_Data!G9</f>
        <v>ClickFix Standard</v>
      </c>
      <c r="I9" s="2">
        <f>Raw_Data!H9</f>
        <v>5</v>
      </c>
      <c r="J9" s="4">
        <f>Raw_Data!I9</f>
        <v>221.43</v>
      </c>
      <c r="K9" s="4">
        <f>Raw_Data!J9</f>
        <v>110.72</v>
      </c>
      <c r="L9" s="5">
        <f>IF(Raw_Data!K9="",0,Raw_Data!K9)</f>
        <v>0.1</v>
      </c>
      <c r="M9" s="4">
        <f t="shared" si="1"/>
        <v>996.44</v>
      </c>
      <c r="N9" s="4">
        <f t="shared" si="2"/>
        <v>442.84</v>
      </c>
      <c r="O9" s="6">
        <f t="shared" si="3"/>
        <v>0.44442214282846931</v>
      </c>
    </row>
    <row r="10" spans="1:15" ht="15" customHeight="1" x14ac:dyDescent="0.3">
      <c r="A10" s="2">
        <f>Raw_Data!A10</f>
        <v>100009</v>
      </c>
      <c r="B10" s="3" t="e">
        <f>DATEVALUE(Raw_Data!B10)</f>
        <v>#VALUE!</v>
      </c>
      <c r="C10" s="2" t="e">
        <f t="shared" si="0"/>
        <v>#VALUE!</v>
      </c>
      <c r="D10" s="2" t="str">
        <f>PROPER(TRIM(Raw_Data!C10))</f>
        <v>Arjun Verma</v>
      </c>
      <c r="E10" s="2" t="str">
        <f>PROPER(TRIM(Raw_Data!D10))</f>
        <v>East</v>
      </c>
      <c r="F10" s="2" t="str">
        <f>PROPER(TRIM(Raw_Data!E10))</f>
        <v>Furniture</v>
      </c>
      <c r="G10" s="2" t="str">
        <f>PROPER(TRIM(Raw_Data!F10))</f>
        <v>Chairs</v>
      </c>
      <c r="H10" s="2" t="str">
        <f>Raw_Data!G10</f>
        <v>MeshFlex Pro</v>
      </c>
      <c r="I10" s="2">
        <f>Raw_Data!H10</f>
        <v>6</v>
      </c>
      <c r="J10" s="4">
        <f>Raw_Data!I10</f>
        <v>7195.98</v>
      </c>
      <c r="K10" s="4">
        <f>Raw_Data!J10</f>
        <v>4461.51</v>
      </c>
      <c r="L10" s="5">
        <f>IF(Raw_Data!K10="",0,Raw_Data!K10)</f>
        <v>0</v>
      </c>
      <c r="M10" s="4">
        <f t="shared" si="1"/>
        <v>43175.88</v>
      </c>
      <c r="N10" s="4">
        <f t="shared" si="2"/>
        <v>16406.82</v>
      </c>
      <c r="O10" s="6">
        <f t="shared" si="3"/>
        <v>0.37999966648045158</v>
      </c>
    </row>
    <row r="11" spans="1:15" ht="15" customHeight="1" x14ac:dyDescent="0.3">
      <c r="A11" s="2">
        <f>Raw_Data!A11</f>
        <v>100010</v>
      </c>
      <c r="B11" s="3">
        <f>DATEVALUE(Raw_Data!B11)</f>
        <v>45504</v>
      </c>
      <c r="C11" s="2" t="str">
        <f t="shared" si="0"/>
        <v>Jul-2024</v>
      </c>
      <c r="D11" s="2" t="str">
        <f>PROPER(TRIM(Raw_Data!C11))</f>
        <v>Meera Shah</v>
      </c>
      <c r="E11" s="2" t="str">
        <f>PROPER(TRIM(Raw_Data!D11))</f>
        <v>South</v>
      </c>
      <c r="F11" s="2" t="str">
        <f>PROPER(TRIM(Raw_Data!E11))</f>
        <v>Furniture</v>
      </c>
      <c r="G11" s="2" t="str">
        <f>PROPER(TRIM(Raw_Data!F11))</f>
        <v>Cabinets</v>
      </c>
      <c r="H11" s="2" t="str">
        <f>Raw_Data!G11</f>
        <v>FileSafe Steel</v>
      </c>
      <c r="I11" s="2">
        <f>Raw_Data!H11</f>
        <v>5</v>
      </c>
      <c r="J11" s="4">
        <f>Raw_Data!I11</f>
        <v>5704.15</v>
      </c>
      <c r="K11" s="4">
        <f>Raw_Data!J11</f>
        <v>3422.49</v>
      </c>
      <c r="L11" s="5">
        <f>IF(Raw_Data!K11="",0,Raw_Data!K11)</f>
        <v>0.1</v>
      </c>
      <c r="M11" s="4">
        <f t="shared" si="1"/>
        <v>25668.68</v>
      </c>
      <c r="N11" s="4">
        <f t="shared" si="2"/>
        <v>8556.23</v>
      </c>
      <c r="O11" s="6">
        <f t="shared" si="3"/>
        <v>0.33333346319327678</v>
      </c>
    </row>
    <row r="12" spans="1:15" ht="15" customHeight="1" x14ac:dyDescent="0.3">
      <c r="A12" s="2">
        <f>Raw_Data!A12</f>
        <v>100011</v>
      </c>
      <c r="B12" s="3">
        <f>DATEVALUE(Raw_Data!B12)</f>
        <v>45543</v>
      </c>
      <c r="C12" s="2" t="str">
        <f t="shared" si="0"/>
        <v>Sep-2024</v>
      </c>
      <c r="D12" s="2" t="str">
        <f>PROPER(TRIM(Raw_Data!C12))</f>
        <v>Aarav Gupta</v>
      </c>
      <c r="E12" s="2" t="str">
        <f>PROPER(TRIM(Raw_Data!D12))</f>
        <v>West</v>
      </c>
      <c r="F12" s="2" t="str">
        <f>PROPER(TRIM(Raw_Data!E12))</f>
        <v>Electronics</v>
      </c>
      <c r="G12" s="2" t="str">
        <f>PROPER(TRIM(Raw_Data!F12))</f>
        <v>Headphones</v>
      </c>
      <c r="H12" s="2" t="str">
        <f>Raw_Data!G12</f>
        <v>SoundMax Pro</v>
      </c>
      <c r="I12" s="2">
        <f>Raw_Data!H12</f>
        <v>2</v>
      </c>
      <c r="J12" s="4">
        <f>Raw_Data!I12</f>
        <v>2484.88</v>
      </c>
      <c r="K12" s="4">
        <f>Raw_Data!J12</f>
        <v>1366.68</v>
      </c>
      <c r="L12" s="5">
        <f>IF(Raw_Data!K12="",0,Raw_Data!K12)</f>
        <v>0.1</v>
      </c>
      <c r="M12" s="4">
        <f t="shared" si="1"/>
        <v>4472.78</v>
      </c>
      <c r="N12" s="4">
        <f t="shared" si="2"/>
        <v>1739.42</v>
      </c>
      <c r="O12" s="6">
        <f t="shared" si="3"/>
        <v>0.3888901309700008</v>
      </c>
    </row>
    <row r="13" spans="1:15" ht="15" customHeight="1" x14ac:dyDescent="0.3">
      <c r="A13" s="2">
        <f>Raw_Data!A13</f>
        <v>100012</v>
      </c>
      <c r="B13" s="3">
        <f>DATEVALUE(Raw_Data!B13)</f>
        <v>45581</v>
      </c>
      <c r="C13" s="2" t="str">
        <f t="shared" si="0"/>
        <v>Oct-2024</v>
      </c>
      <c r="D13" s="2" t="str">
        <f>PROPER(TRIM(Raw_Data!C13))</f>
        <v>Nikhil Das</v>
      </c>
      <c r="E13" s="2" t="str">
        <f>PROPER(TRIM(Raw_Data!D13))</f>
        <v>East</v>
      </c>
      <c r="F13" s="2" t="str">
        <f>PROPER(TRIM(Raw_Data!E13))</f>
        <v>Clothing</v>
      </c>
      <c r="G13" s="2" t="str">
        <f>PROPER(TRIM(Raw_Data!F13))</f>
        <v>Jackets</v>
      </c>
      <c r="H13" s="2" t="str">
        <f>Raw_Data!G13</f>
        <v>WinterGuard</v>
      </c>
      <c r="I13" s="2">
        <f>Raw_Data!H13</f>
        <v>12</v>
      </c>
      <c r="J13" s="4">
        <f>Raw_Data!I13</f>
        <v>3000.53</v>
      </c>
      <c r="K13" s="4">
        <f>Raw_Data!J13</f>
        <v>1500.26</v>
      </c>
      <c r="L13" s="5">
        <f>IF(Raw_Data!K13="",0,Raw_Data!K13)</f>
        <v>0.1</v>
      </c>
      <c r="M13" s="4">
        <f t="shared" si="1"/>
        <v>32405.72</v>
      </c>
      <c r="N13" s="4">
        <f t="shared" si="2"/>
        <v>14402.6</v>
      </c>
      <c r="O13" s="6">
        <f t="shared" si="3"/>
        <v>0.44444622739442297</v>
      </c>
    </row>
    <row r="14" spans="1:15" ht="15" customHeight="1" x14ac:dyDescent="0.3">
      <c r="A14" s="2">
        <f>Raw_Data!A14</f>
        <v>100013</v>
      </c>
      <c r="B14" s="3">
        <f>DATEVALUE(Raw_Data!B14)</f>
        <v>45330</v>
      </c>
      <c r="C14" s="2" t="str">
        <f t="shared" si="0"/>
        <v>Feb-2024</v>
      </c>
      <c r="D14" s="2" t="str">
        <f>PROPER(TRIM(Raw_Data!C14))</f>
        <v>Sai Shah</v>
      </c>
      <c r="E14" s="2" t="str">
        <f>PROPER(TRIM(Raw_Data!D14))</f>
        <v>North</v>
      </c>
      <c r="F14" s="2" t="str">
        <f>PROPER(TRIM(Raw_Data!E14))</f>
        <v>Electronics</v>
      </c>
      <c r="G14" s="2" t="str">
        <f>PROPER(TRIM(Raw_Data!F14))</f>
        <v>Laptops</v>
      </c>
      <c r="H14" s="2" t="str">
        <f>Raw_Data!G14</f>
        <v>UltraSlim X1</v>
      </c>
      <c r="I14" s="2">
        <f>Raw_Data!H14</f>
        <v>12</v>
      </c>
      <c r="J14" s="4">
        <f>Raw_Data!I14</f>
        <v>61634.78</v>
      </c>
      <c r="K14" s="4">
        <f>Raw_Data!J14</f>
        <v>36980.870000000003</v>
      </c>
      <c r="L14" s="5">
        <f>IF(Raw_Data!K14="",0,Raw_Data!K14)</f>
        <v>0.2</v>
      </c>
      <c r="M14" s="4">
        <f t="shared" si="1"/>
        <v>591693.89</v>
      </c>
      <c r="N14" s="4">
        <f t="shared" si="2"/>
        <v>147923.45000000001</v>
      </c>
      <c r="O14" s="6">
        <f t="shared" si="3"/>
        <v>0.24999996197358065</v>
      </c>
    </row>
    <row r="15" spans="1:15" ht="15" customHeight="1" x14ac:dyDescent="0.3">
      <c r="A15" s="2">
        <f>Raw_Data!A15</f>
        <v>100014</v>
      </c>
      <c r="B15" s="3">
        <f>DATEVALUE(Raw_Data!B15)</f>
        <v>45481</v>
      </c>
      <c r="C15" s="2" t="str">
        <f t="shared" si="0"/>
        <v>Jul-2024</v>
      </c>
      <c r="D15" s="2" t="str">
        <f>PROPER(TRIM(Raw_Data!C15))</f>
        <v>Pranav Verma</v>
      </c>
      <c r="E15" s="2" t="str">
        <f>PROPER(TRIM(Raw_Data!D15))</f>
        <v>North</v>
      </c>
      <c r="F15" s="2" t="str">
        <f>PROPER(TRIM(Raw_Data!E15))</f>
        <v>Electronics</v>
      </c>
      <c r="G15" s="2" t="str">
        <f>PROPER(TRIM(Raw_Data!F15))</f>
        <v>Laptops</v>
      </c>
      <c r="H15" s="2" t="str">
        <f>Raw_Data!G15</f>
        <v>ProBook 14</v>
      </c>
      <c r="I15" s="2">
        <f>Raw_Data!H15</f>
        <v>4</v>
      </c>
      <c r="J15" s="4">
        <f>Raw_Data!I15</f>
        <v>43722.92</v>
      </c>
      <c r="K15" s="4">
        <f>Raw_Data!J15</f>
        <v>28419.9</v>
      </c>
      <c r="L15" s="5">
        <f>IF(Raw_Data!K15="",0,Raw_Data!K15)</f>
        <v>0.1</v>
      </c>
      <c r="M15" s="4">
        <f t="shared" si="1"/>
        <v>157402.51</v>
      </c>
      <c r="N15" s="4">
        <f t="shared" si="2"/>
        <v>43722.91</v>
      </c>
      <c r="O15" s="6">
        <f t="shared" si="3"/>
        <v>0.27777771777591093</v>
      </c>
    </row>
    <row r="16" spans="1:15" ht="15" customHeight="1" x14ac:dyDescent="0.3">
      <c r="A16" s="2">
        <f>Raw_Data!A16</f>
        <v>100015</v>
      </c>
      <c r="B16" s="3">
        <f>DATEVALUE(Raw_Data!B16)</f>
        <v>45644</v>
      </c>
      <c r="C16" s="2" t="str">
        <f t="shared" si="0"/>
        <v>Dec-2024</v>
      </c>
      <c r="D16" s="2" t="str">
        <f>PROPER(TRIM(Raw_Data!C16))</f>
        <v>Tanvi Kapoor</v>
      </c>
      <c r="E16" s="2" t="str">
        <f>PROPER(TRIM(Raw_Data!D16))</f>
        <v>West</v>
      </c>
      <c r="F16" s="2" t="str">
        <f>PROPER(TRIM(Raw_Data!E16))</f>
        <v>Furniture</v>
      </c>
      <c r="G16" s="2" t="str">
        <f>PROPER(TRIM(Raw_Data!F16))</f>
        <v>Desks</v>
      </c>
      <c r="H16" s="2" t="str">
        <f>Raw_Data!G16</f>
        <v>CornerFit Desk</v>
      </c>
      <c r="I16" s="2">
        <f>Raw_Data!H16</f>
        <v>4</v>
      </c>
      <c r="J16" s="4">
        <f>Raw_Data!I16</f>
        <v>10544.14</v>
      </c>
      <c r="K16" s="4">
        <f>Raw_Data!J16</f>
        <v>6115.6</v>
      </c>
      <c r="L16" s="5">
        <f>IF(Raw_Data!K16="",0,Raw_Data!K16)</f>
        <v>0.1</v>
      </c>
      <c r="M16" s="4">
        <f t="shared" si="1"/>
        <v>37958.9</v>
      </c>
      <c r="N16" s="4">
        <f t="shared" si="2"/>
        <v>13496.5</v>
      </c>
      <c r="O16" s="6">
        <f t="shared" si="3"/>
        <v>0.35555561409840641</v>
      </c>
    </row>
    <row r="17" spans="1:15" ht="15" customHeight="1" x14ac:dyDescent="0.3">
      <c r="A17" s="2">
        <f>Raw_Data!A17</f>
        <v>100016</v>
      </c>
      <c r="B17" s="3">
        <f>DATEVALUE(Raw_Data!B17)</f>
        <v>45477</v>
      </c>
      <c r="C17" s="2" t="str">
        <f t="shared" si="0"/>
        <v>Jul-2024</v>
      </c>
      <c r="D17" s="2" t="str">
        <f>PROPER(TRIM(Raw_Data!C17))</f>
        <v>Vikram Bhatt</v>
      </c>
      <c r="E17" s="2" t="str">
        <f>PROPER(TRIM(Raw_Data!D17))</f>
        <v>North</v>
      </c>
      <c r="F17" s="2" t="str">
        <f>PROPER(TRIM(Raw_Data!E17))</f>
        <v>Furniture</v>
      </c>
      <c r="G17" s="2" t="str">
        <f>PROPER(TRIM(Raw_Data!F17))</f>
        <v>Chairs</v>
      </c>
      <c r="H17" s="2" t="str">
        <f>Raw_Data!G17</f>
        <v>MeshFlex Pro</v>
      </c>
      <c r="I17" s="2">
        <f>Raw_Data!H17</f>
        <v>2</v>
      </c>
      <c r="J17" s="4">
        <f>Raw_Data!I17</f>
        <v>7368.22</v>
      </c>
      <c r="K17" s="4">
        <f>Raw_Data!J17</f>
        <v>4568.3</v>
      </c>
      <c r="L17" s="5">
        <f>IF(Raw_Data!K17="",0,Raw_Data!K17)</f>
        <v>0</v>
      </c>
      <c r="M17" s="4">
        <f t="shared" si="1"/>
        <v>14736.44</v>
      </c>
      <c r="N17" s="4">
        <f t="shared" si="2"/>
        <v>5599.84</v>
      </c>
      <c r="O17" s="6">
        <f t="shared" si="3"/>
        <v>0.37999951141524002</v>
      </c>
    </row>
    <row r="18" spans="1:15" ht="15" customHeight="1" x14ac:dyDescent="0.3">
      <c r="A18" s="2">
        <f>Raw_Data!A18</f>
        <v>100017</v>
      </c>
      <c r="B18" s="3">
        <f>DATEVALUE(Raw_Data!B18)</f>
        <v>45515</v>
      </c>
      <c r="C18" s="2" t="str">
        <f t="shared" si="0"/>
        <v>Aug-2024</v>
      </c>
      <c r="D18" s="2" t="str">
        <f>PROPER(TRIM(Raw_Data!C18))</f>
        <v>Aarav Bose</v>
      </c>
      <c r="E18" s="2" t="str">
        <f>PROPER(TRIM(Raw_Data!D18))</f>
        <v>East</v>
      </c>
      <c r="F18" s="2" t="str">
        <f>PROPER(TRIM(Raw_Data!E18))</f>
        <v>Furniture</v>
      </c>
      <c r="G18" s="2" t="str">
        <f>PROPER(TRIM(Raw_Data!F18))</f>
        <v>Bookshelves</v>
      </c>
      <c r="H18" s="2" t="str">
        <f>Raw_Data!G18</f>
        <v>MetalFrame Open</v>
      </c>
      <c r="I18" s="2">
        <f>Raw_Data!H18</f>
        <v>3</v>
      </c>
      <c r="J18" s="4">
        <f>Raw_Data!I18</f>
        <v>3008.23</v>
      </c>
      <c r="K18" s="4">
        <f>Raw_Data!J18</f>
        <v>1865.1</v>
      </c>
      <c r="L18" s="5">
        <f>IF(Raw_Data!K18="",0,Raw_Data!K18)</f>
        <v>0.05</v>
      </c>
      <c r="M18" s="4">
        <f t="shared" si="1"/>
        <v>8573.4599999999991</v>
      </c>
      <c r="N18" s="4">
        <f t="shared" si="2"/>
        <v>2978.16</v>
      </c>
      <c r="O18" s="6">
        <f t="shared" si="3"/>
        <v>0.34736967338740721</v>
      </c>
    </row>
    <row r="19" spans="1:15" ht="15" customHeight="1" x14ac:dyDescent="0.3">
      <c r="A19" s="2">
        <f>Raw_Data!A19</f>
        <v>100018</v>
      </c>
      <c r="B19" s="3" t="e">
        <f>DATEVALUE(Raw_Data!B19)</f>
        <v>#VALUE!</v>
      </c>
      <c r="C19" s="2" t="e">
        <f t="shared" si="0"/>
        <v>#VALUE!</v>
      </c>
      <c r="D19" s="2" t="str">
        <f>PROPER(TRIM(Raw_Data!C19))</f>
        <v>Sneha Pillai</v>
      </c>
      <c r="E19" s="2" t="str">
        <f>PROPER(TRIM(Raw_Data!D19))</f>
        <v>East</v>
      </c>
      <c r="F19" s="2" t="str">
        <f>PROPER(TRIM(Raw_Data!E19))</f>
        <v>Electronics</v>
      </c>
      <c r="G19" s="2" t="str">
        <f>PROPER(TRIM(Raw_Data!F19))</f>
        <v>Headphones</v>
      </c>
      <c r="H19" s="2" t="str">
        <f>Raw_Data!G19</f>
        <v>BassBeat Mini</v>
      </c>
      <c r="I19" s="2">
        <f>Raw_Data!H19</f>
        <v>5</v>
      </c>
      <c r="J19" s="4">
        <f>Raw_Data!I19</f>
        <v>1164.6099999999999</v>
      </c>
      <c r="K19" s="4">
        <f>Raw_Data!J19</f>
        <v>698.77</v>
      </c>
      <c r="L19" s="5">
        <f>IF(Raw_Data!K19="",0,Raw_Data!K19)</f>
        <v>0</v>
      </c>
      <c r="M19" s="4">
        <f t="shared" si="1"/>
        <v>5823.05</v>
      </c>
      <c r="N19" s="4">
        <f t="shared" si="2"/>
        <v>2329.1999999999998</v>
      </c>
      <c r="O19" s="6">
        <f t="shared" si="3"/>
        <v>0.39999656537381606</v>
      </c>
    </row>
    <row r="20" spans="1:15" ht="15" customHeight="1" x14ac:dyDescent="0.3">
      <c r="A20" s="2">
        <f>Raw_Data!A20</f>
        <v>100019</v>
      </c>
      <c r="B20" s="3">
        <f>DATEVALUE(Raw_Data!B20)</f>
        <v>45479</v>
      </c>
      <c r="C20" s="2" t="str">
        <f t="shared" si="0"/>
        <v>Jul-2024</v>
      </c>
      <c r="D20" s="2" t="str">
        <f>PROPER(TRIM(Raw_Data!C20))</f>
        <v>Pooja Das</v>
      </c>
      <c r="E20" s="2" t="str">
        <f>PROPER(TRIM(Raw_Data!D20))</f>
        <v>North</v>
      </c>
      <c r="F20" s="2" t="str">
        <f>PROPER(TRIM(Raw_Data!E20))</f>
        <v>Electronics</v>
      </c>
      <c r="G20" s="2" t="str">
        <f>PROPER(TRIM(Raw_Data!F20))</f>
        <v>Headphones</v>
      </c>
      <c r="H20" s="2" t="str">
        <f>Raw_Data!G20</f>
        <v>BassBeat Mini</v>
      </c>
      <c r="I20" s="2">
        <f>Raw_Data!H20</f>
        <v>5</v>
      </c>
      <c r="J20" s="4">
        <f>Raw_Data!I20</f>
        <v>1234.3499999999999</v>
      </c>
      <c r="K20" s="4">
        <f>Raw_Data!J20</f>
        <v>740.61</v>
      </c>
      <c r="L20" s="5">
        <f>IF(Raw_Data!K20="",0,Raw_Data!K20)</f>
        <v>0.15</v>
      </c>
      <c r="M20" s="4">
        <f t="shared" si="1"/>
        <v>5245.99</v>
      </c>
      <c r="N20" s="4">
        <f t="shared" si="2"/>
        <v>1542.94</v>
      </c>
      <c r="O20" s="6">
        <f t="shared" si="3"/>
        <v>0.29411798345021628</v>
      </c>
    </row>
    <row r="21" spans="1:15" ht="15" customHeight="1" x14ac:dyDescent="0.3">
      <c r="A21" s="2">
        <f>Raw_Data!A21</f>
        <v>100020</v>
      </c>
      <c r="B21" s="3">
        <f>DATEVALUE(Raw_Data!B21)</f>
        <v>45491</v>
      </c>
      <c r="C21" s="2" t="str">
        <f t="shared" si="0"/>
        <v>Jul-2024</v>
      </c>
      <c r="D21" s="2" t="str">
        <f>PROPER(TRIM(Raw_Data!C21))</f>
        <v>Ishaan Gupta</v>
      </c>
      <c r="E21" s="2" t="str">
        <f>PROPER(TRIM(Raw_Data!D21))</f>
        <v>East</v>
      </c>
      <c r="F21" s="2" t="str">
        <f>PROPER(TRIM(Raw_Data!E21))</f>
        <v>Furniture</v>
      </c>
      <c r="G21" s="2" t="str">
        <f>PROPER(TRIM(Raw_Data!F21))</f>
        <v>Bookshelves</v>
      </c>
      <c r="H21" s="2" t="str">
        <f>Raw_Data!G21</f>
        <v>WoodCraft 5-Tier</v>
      </c>
      <c r="I21" s="2">
        <f>Raw_Data!H21</f>
        <v>12</v>
      </c>
      <c r="J21" s="4">
        <f>Raw_Data!I21</f>
        <v>3425.29</v>
      </c>
      <c r="K21" s="4">
        <f>Raw_Data!J21</f>
        <v>2055.17</v>
      </c>
      <c r="L21" s="5">
        <f>IF(Raw_Data!K21="",0,Raw_Data!K21)</f>
        <v>0.15</v>
      </c>
      <c r="M21" s="4">
        <f t="shared" si="1"/>
        <v>34937.96</v>
      </c>
      <c r="N21" s="4">
        <f t="shared" si="2"/>
        <v>10275.92</v>
      </c>
      <c r="O21" s="6">
        <f t="shared" si="3"/>
        <v>0.29411906133042687</v>
      </c>
    </row>
    <row r="22" spans="1:15" ht="15" customHeight="1" x14ac:dyDescent="0.3">
      <c r="A22" s="2">
        <f>Raw_Data!A22</f>
        <v>100021</v>
      </c>
      <c r="B22" s="3" t="e">
        <f>DATEVALUE(Raw_Data!B22)</f>
        <v>#VALUE!</v>
      </c>
      <c r="C22" s="2" t="e">
        <f t="shared" si="0"/>
        <v>#VALUE!</v>
      </c>
      <c r="D22" s="2" t="str">
        <f>PROPER(TRIM(Raw_Data!C22))</f>
        <v>Sai Nair</v>
      </c>
      <c r="E22" s="2" t="str">
        <f>PROPER(TRIM(Raw_Data!D22))</f>
        <v>West</v>
      </c>
      <c r="F22" s="2" t="str">
        <f>PROPER(TRIM(Raw_Data!E22))</f>
        <v>Furniture</v>
      </c>
      <c r="G22" s="2" t="str">
        <f>PROPER(TRIM(Raw_Data!F22))</f>
        <v>Chairs</v>
      </c>
      <c r="H22" s="2" t="str">
        <f>Raw_Data!G22</f>
        <v>ClassicWood</v>
      </c>
      <c r="I22" s="2">
        <f>Raw_Data!H22</f>
        <v>6</v>
      </c>
      <c r="J22" s="4">
        <f>Raw_Data!I22</f>
        <v>5547.71</v>
      </c>
      <c r="K22" s="4">
        <f>Raw_Data!J22</f>
        <v>3606.01</v>
      </c>
      <c r="L22" s="5">
        <f>IF(Raw_Data!K22="",0,Raw_Data!K22)</f>
        <v>0.2</v>
      </c>
      <c r="M22" s="4">
        <f t="shared" si="1"/>
        <v>26629.01</v>
      </c>
      <c r="N22" s="4">
        <f t="shared" si="2"/>
        <v>4992.95</v>
      </c>
      <c r="O22" s="6">
        <f t="shared" si="3"/>
        <v>0.18750039900093921</v>
      </c>
    </row>
    <row r="23" spans="1:15" ht="15" customHeight="1" x14ac:dyDescent="0.3">
      <c r="A23" s="2">
        <f>Raw_Data!A23</f>
        <v>100022</v>
      </c>
      <c r="B23" s="3">
        <f>DATEVALUE(Raw_Data!B23)</f>
        <v>45499</v>
      </c>
      <c r="C23" s="2" t="str">
        <f t="shared" si="0"/>
        <v>Jul-2024</v>
      </c>
      <c r="D23" s="2" t="str">
        <f>PROPER(TRIM(Raw_Data!C23))</f>
        <v>Riya Reddy</v>
      </c>
      <c r="E23" s="2" t="str">
        <f>PROPER(TRIM(Raw_Data!D23))</f>
        <v>South</v>
      </c>
      <c r="F23" s="2" t="str">
        <f>PROPER(TRIM(Raw_Data!E23))</f>
        <v>Furniture</v>
      </c>
      <c r="G23" s="2" t="str">
        <f>PROPER(TRIM(Raw_Data!F23))</f>
        <v>Desks</v>
      </c>
      <c r="H23" s="2" t="str">
        <f>Raw_Data!G23</f>
        <v>CornerFit Desk</v>
      </c>
      <c r="I23" s="2">
        <f>Raw_Data!H23</f>
        <v>1</v>
      </c>
      <c r="J23" s="4">
        <f>Raw_Data!I23</f>
        <v>9538.51</v>
      </c>
      <c r="K23" s="4">
        <f>Raw_Data!J23</f>
        <v>5532.33</v>
      </c>
      <c r="L23" s="5">
        <f>IF(Raw_Data!K23="",0,Raw_Data!K23)</f>
        <v>0.05</v>
      </c>
      <c r="M23" s="4">
        <f t="shared" si="1"/>
        <v>9061.58</v>
      </c>
      <c r="N23" s="4">
        <f t="shared" si="2"/>
        <v>3529.25</v>
      </c>
      <c r="O23" s="6">
        <f t="shared" si="3"/>
        <v>0.38947402108683032</v>
      </c>
    </row>
    <row r="24" spans="1:15" ht="15" customHeight="1" x14ac:dyDescent="0.3">
      <c r="A24" s="2">
        <f>Raw_Data!A24</f>
        <v>100023</v>
      </c>
      <c r="B24" s="3">
        <f>DATEVALUE(Raw_Data!B24)</f>
        <v>45603</v>
      </c>
      <c r="C24" s="2" t="str">
        <f t="shared" si="0"/>
        <v>Nov-2024</v>
      </c>
      <c r="D24" s="2" t="str">
        <f>PROPER(TRIM(Raw_Data!C24))</f>
        <v>Yash Gupta</v>
      </c>
      <c r="E24" s="2" t="str">
        <f>PROPER(TRIM(Raw_Data!D24))</f>
        <v>West</v>
      </c>
      <c r="F24" s="2" t="str">
        <f>PROPER(TRIM(Raw_Data!E24))</f>
        <v>Office Supplies</v>
      </c>
      <c r="G24" s="2" t="str">
        <f>PROPER(TRIM(Raw_Data!F24))</f>
        <v>Staplers</v>
      </c>
      <c r="H24" s="2" t="str">
        <f>Raw_Data!G24</f>
        <v>ClickFix Standard</v>
      </c>
      <c r="I24" s="2">
        <f>Raw_Data!H24</f>
        <v>4</v>
      </c>
      <c r="J24" s="4">
        <f>Raw_Data!I24</f>
        <v>209.68</v>
      </c>
      <c r="K24" s="4">
        <f>Raw_Data!J24</f>
        <v>104.84</v>
      </c>
      <c r="L24" s="5">
        <f>IF(Raw_Data!K24="",0,Raw_Data!K24)</f>
        <v>0</v>
      </c>
      <c r="M24" s="4">
        <f t="shared" si="1"/>
        <v>838.72</v>
      </c>
      <c r="N24" s="4">
        <f t="shared" si="2"/>
        <v>419.36</v>
      </c>
      <c r="O24" s="6">
        <f t="shared" si="3"/>
        <v>0.5</v>
      </c>
    </row>
    <row r="25" spans="1:15" ht="15" customHeight="1" x14ac:dyDescent="0.3">
      <c r="A25" s="2">
        <f>Raw_Data!A25</f>
        <v>100024</v>
      </c>
      <c r="B25" s="3">
        <f>DATEVALUE(Raw_Data!B25)</f>
        <v>45383</v>
      </c>
      <c r="C25" s="2" t="str">
        <f t="shared" si="0"/>
        <v>Apr-2024</v>
      </c>
      <c r="D25" s="2" t="str">
        <f>PROPER(TRIM(Raw_Data!C25))</f>
        <v>Saanvi Kapoor</v>
      </c>
      <c r="E25" s="2" t="str">
        <f>PROPER(TRIM(Raw_Data!D25))</f>
        <v>North</v>
      </c>
      <c r="F25" s="2" t="str">
        <f>PROPER(TRIM(Raw_Data!E25))</f>
        <v>Electronics</v>
      </c>
      <c r="G25" s="2" t="str">
        <f>PROPER(TRIM(Raw_Data!F25))</f>
        <v>Monitors</v>
      </c>
      <c r="H25" s="2" t="str">
        <f>Raw_Data!G25</f>
        <v>ViewClear 24</v>
      </c>
      <c r="I25" s="2">
        <f>Raw_Data!H25</f>
        <v>10</v>
      </c>
      <c r="J25" s="4">
        <f>Raw_Data!I25</f>
        <v>10213.73</v>
      </c>
      <c r="K25" s="4">
        <f>Raw_Data!J25</f>
        <v>6332.51</v>
      </c>
      <c r="L25" s="5">
        <f>IF(Raw_Data!K25="",0,Raw_Data!K25)</f>
        <v>0.05</v>
      </c>
      <c r="M25" s="4">
        <f t="shared" si="1"/>
        <v>97030.44</v>
      </c>
      <c r="N25" s="4">
        <f t="shared" si="2"/>
        <v>33705.339999999997</v>
      </c>
      <c r="O25" s="6">
        <f t="shared" si="3"/>
        <v>0.34736872264002921</v>
      </c>
    </row>
    <row r="26" spans="1:15" ht="15" customHeight="1" x14ac:dyDescent="0.3">
      <c r="A26" s="2">
        <f>Raw_Data!A26</f>
        <v>100025</v>
      </c>
      <c r="B26" s="3" t="e">
        <f>DATEVALUE(Raw_Data!B26)</f>
        <v>#VALUE!</v>
      </c>
      <c r="C26" s="2" t="e">
        <f t="shared" si="0"/>
        <v>#VALUE!</v>
      </c>
      <c r="D26" s="2" t="str">
        <f>PROPER(TRIM(Raw_Data!C26))</f>
        <v>Priya Singh</v>
      </c>
      <c r="E26" s="2" t="str">
        <f>PROPER(TRIM(Raw_Data!D26))</f>
        <v>West</v>
      </c>
      <c r="F26" s="2" t="str">
        <f>PROPER(TRIM(Raw_Data!E26))</f>
        <v>Electronics</v>
      </c>
      <c r="G26" s="2" t="str">
        <f>PROPER(TRIM(Raw_Data!F26))</f>
        <v>Headphones</v>
      </c>
      <c r="H26" s="2" t="str">
        <f>Raw_Data!G26</f>
        <v>BassBeat Mini</v>
      </c>
      <c r="I26" s="2">
        <f>Raw_Data!H26</f>
        <v>7</v>
      </c>
      <c r="J26" s="4">
        <f>Raw_Data!I26</f>
        <v>1150.92</v>
      </c>
      <c r="K26" s="4">
        <f>Raw_Data!J26</f>
        <v>690.55</v>
      </c>
      <c r="L26" s="5">
        <f>IF(Raw_Data!K26="",0,Raw_Data!K26)</f>
        <v>0.15</v>
      </c>
      <c r="M26" s="4">
        <f t="shared" si="1"/>
        <v>6847.97</v>
      </c>
      <c r="N26" s="4">
        <f t="shared" si="2"/>
        <v>2014.12</v>
      </c>
      <c r="O26" s="6">
        <f t="shared" si="3"/>
        <v>0.29411927914403829</v>
      </c>
    </row>
    <row r="27" spans="1:15" ht="15" customHeight="1" x14ac:dyDescent="0.3">
      <c r="A27" s="2">
        <f>Raw_Data!A27</f>
        <v>100026</v>
      </c>
      <c r="B27" s="3" t="e">
        <f>DATEVALUE(Raw_Data!B27)</f>
        <v>#VALUE!</v>
      </c>
      <c r="C27" s="2" t="e">
        <f t="shared" si="0"/>
        <v>#VALUE!</v>
      </c>
      <c r="D27" s="2" t="str">
        <f>PROPER(TRIM(Raw_Data!C27))</f>
        <v>Myra Shah</v>
      </c>
      <c r="E27" s="2" t="str">
        <f>PROPER(TRIM(Raw_Data!D27))</f>
        <v>South</v>
      </c>
      <c r="F27" s="2" t="str">
        <f>PROPER(TRIM(Raw_Data!E27))</f>
        <v>Furniture</v>
      </c>
      <c r="G27" s="2" t="str">
        <f>PROPER(TRIM(Raw_Data!F27))</f>
        <v>Cabinets</v>
      </c>
      <c r="H27" s="2" t="str">
        <f>Raw_Data!G27</f>
        <v>StorageMax Wood</v>
      </c>
      <c r="I27" s="2">
        <f>Raw_Data!H27</f>
        <v>11</v>
      </c>
      <c r="J27" s="4">
        <f>Raw_Data!I27</f>
        <v>4922.1099999999997</v>
      </c>
      <c r="K27" s="4">
        <f>Raw_Data!J27</f>
        <v>3100.93</v>
      </c>
      <c r="L27" s="5">
        <f>IF(Raw_Data!K27="",0,Raw_Data!K27)</f>
        <v>0</v>
      </c>
      <c r="M27" s="4">
        <f t="shared" si="1"/>
        <v>54143.21</v>
      </c>
      <c r="N27" s="4">
        <f t="shared" si="2"/>
        <v>20032.98</v>
      </c>
      <c r="O27" s="6">
        <f t="shared" si="3"/>
        <v>0.36999985778456801</v>
      </c>
    </row>
    <row r="28" spans="1:15" ht="15" customHeight="1" x14ac:dyDescent="0.3">
      <c r="A28" s="2">
        <f>Raw_Data!A28</f>
        <v>100027</v>
      </c>
      <c r="B28" s="3" t="e">
        <f>DATEVALUE(Raw_Data!B28)</f>
        <v>#VALUE!</v>
      </c>
      <c r="C28" s="2" t="e">
        <f t="shared" si="0"/>
        <v>#VALUE!</v>
      </c>
      <c r="D28" s="2" t="str">
        <f>PROPER(TRIM(Raw_Data!C28))</f>
        <v>Aditya Nair</v>
      </c>
      <c r="E28" s="2" t="str">
        <f>PROPER(TRIM(Raw_Data!D28))</f>
        <v>West</v>
      </c>
      <c r="F28" s="2" t="str">
        <f>PROPER(TRIM(Raw_Data!E28))</f>
        <v>Clothing</v>
      </c>
      <c r="G28" s="2" t="str">
        <f>PROPER(TRIM(Raw_Data!F28))</f>
        <v>Jackets</v>
      </c>
      <c r="H28" s="2" t="str">
        <f>Raw_Data!G28</f>
        <v>RainShield Pro</v>
      </c>
      <c r="I28" s="2">
        <f>Raw_Data!H28</f>
        <v>12</v>
      </c>
      <c r="J28" s="4">
        <f>Raw_Data!I28</f>
        <v>2138.5300000000002</v>
      </c>
      <c r="K28" s="4">
        <f>Raw_Data!J28</f>
        <v>1069.27</v>
      </c>
      <c r="L28" s="5">
        <f>IF(Raw_Data!K28="",0,Raw_Data!K28)</f>
        <v>0</v>
      </c>
      <c r="M28" s="4">
        <f t="shared" si="1"/>
        <v>25662.36</v>
      </c>
      <c r="N28" s="4">
        <f t="shared" si="2"/>
        <v>12831.12</v>
      </c>
      <c r="O28" s="6">
        <f t="shared" si="3"/>
        <v>0.499997661945355</v>
      </c>
    </row>
    <row r="29" spans="1:15" ht="15" customHeight="1" x14ac:dyDescent="0.3">
      <c r="A29" s="2">
        <f>Raw_Data!A29</f>
        <v>100028</v>
      </c>
      <c r="B29" s="3">
        <f>DATEVALUE(Raw_Data!B29)</f>
        <v>45481</v>
      </c>
      <c r="C29" s="2" t="str">
        <f t="shared" si="0"/>
        <v>Jul-2024</v>
      </c>
      <c r="D29" s="2" t="str">
        <f>PROPER(TRIM(Raw_Data!C29))</f>
        <v>Manoj Sharma</v>
      </c>
      <c r="E29" s="2" t="str">
        <f>PROPER(TRIM(Raw_Data!D29))</f>
        <v>North</v>
      </c>
      <c r="F29" s="2" t="str">
        <f>PROPER(TRIM(Raw_Data!E29))</f>
        <v>Clothing</v>
      </c>
      <c r="G29" s="2" t="str">
        <f>PROPER(TRIM(Raw_Data!F29))</f>
        <v>Bags</v>
      </c>
      <c r="H29" s="2" t="str">
        <f>Raw_Data!G29</f>
        <v>CityCarry Backpack</v>
      </c>
      <c r="I29" s="2">
        <f>Raw_Data!H29</f>
        <v>12</v>
      </c>
      <c r="J29" s="4">
        <f>Raw_Data!I29</f>
        <v>1560.79</v>
      </c>
      <c r="K29" s="4">
        <f>Raw_Data!J29</f>
        <v>780.39</v>
      </c>
      <c r="L29" s="5">
        <f>IF(Raw_Data!K29="",0,Raw_Data!K29)</f>
        <v>0.1</v>
      </c>
      <c r="M29" s="4">
        <f t="shared" si="1"/>
        <v>16856.53</v>
      </c>
      <c r="N29" s="4">
        <f t="shared" si="2"/>
        <v>7491.85</v>
      </c>
      <c r="O29" s="6">
        <f t="shared" si="3"/>
        <v>0.44444793798011817</v>
      </c>
    </row>
    <row r="30" spans="1:15" ht="15" customHeight="1" x14ac:dyDescent="0.3">
      <c r="A30" s="2">
        <f>Raw_Data!A30</f>
        <v>100029</v>
      </c>
      <c r="B30" s="3" t="e">
        <f>DATEVALUE(Raw_Data!B30)</f>
        <v>#VALUE!</v>
      </c>
      <c r="C30" s="2" t="e">
        <f t="shared" si="0"/>
        <v>#VALUE!</v>
      </c>
      <c r="D30" s="2" t="str">
        <f>PROPER(TRIM(Raw_Data!C30))</f>
        <v>Aman Bose</v>
      </c>
      <c r="E30" s="2" t="str">
        <f>PROPER(TRIM(Raw_Data!D30))</f>
        <v>West</v>
      </c>
      <c r="F30" s="2" t="str">
        <f>PROPER(TRIM(Raw_Data!E30))</f>
        <v>Electronics</v>
      </c>
      <c r="G30" s="2" t="str">
        <f>PROPER(TRIM(Raw_Data!F30))</f>
        <v>Headphones</v>
      </c>
      <c r="H30" s="2" t="str">
        <f>Raw_Data!G30</f>
        <v>SoundMax Pro</v>
      </c>
      <c r="I30" s="2">
        <f>Raw_Data!H30</f>
        <v>8</v>
      </c>
      <c r="J30" s="4">
        <f>Raw_Data!I30</f>
        <v>2418.34</v>
      </c>
      <c r="K30" s="4">
        <f>Raw_Data!J30</f>
        <v>1330.08</v>
      </c>
      <c r="L30" s="5">
        <f>IF(Raw_Data!K30="",0,Raw_Data!K30)</f>
        <v>0.1</v>
      </c>
      <c r="M30" s="4">
        <f t="shared" si="1"/>
        <v>17412.05</v>
      </c>
      <c r="N30" s="4">
        <f t="shared" si="2"/>
        <v>6771.41</v>
      </c>
      <c r="O30" s="6">
        <f t="shared" si="3"/>
        <v>0.38889217524645292</v>
      </c>
    </row>
    <row r="31" spans="1:15" ht="15" customHeight="1" x14ac:dyDescent="0.3">
      <c r="A31" s="2">
        <f>Raw_Data!A31</f>
        <v>100030</v>
      </c>
      <c r="B31" s="3">
        <f>DATEVALUE(Raw_Data!B31)</f>
        <v>45551</v>
      </c>
      <c r="C31" s="2" t="str">
        <f t="shared" si="0"/>
        <v>Sep-2024</v>
      </c>
      <c r="D31" s="2" t="str">
        <f>PROPER(TRIM(Raw_Data!C31))</f>
        <v>Riya Bose</v>
      </c>
      <c r="E31" s="2" t="str">
        <f>PROPER(TRIM(Raw_Data!D31))</f>
        <v>West</v>
      </c>
      <c r="F31" s="2" t="str">
        <f>PROPER(TRIM(Raw_Data!E31))</f>
        <v>Clothing</v>
      </c>
      <c r="G31" s="2" t="str">
        <f>PROPER(TRIM(Raw_Data!F31))</f>
        <v>Shoes</v>
      </c>
      <c r="H31" s="2" t="str">
        <f>Raw_Data!G31</f>
        <v>WalkEase Casual</v>
      </c>
      <c r="I31" s="2">
        <f>Raw_Data!H31</f>
        <v>11</v>
      </c>
      <c r="J31" s="4">
        <f>Raw_Data!I31</f>
        <v>1873.5</v>
      </c>
      <c r="K31" s="4">
        <f>Raw_Data!J31</f>
        <v>936.75</v>
      </c>
      <c r="L31" s="5">
        <f>IF(Raw_Data!K31="",0,Raw_Data!K31)</f>
        <v>0.2</v>
      </c>
      <c r="M31" s="4">
        <f t="shared" si="1"/>
        <v>16486.8</v>
      </c>
      <c r="N31" s="4">
        <f t="shared" si="2"/>
        <v>6182.55</v>
      </c>
      <c r="O31" s="6">
        <f t="shared" si="3"/>
        <v>0.375</v>
      </c>
    </row>
    <row r="32" spans="1:15" ht="15" customHeight="1" x14ac:dyDescent="0.3">
      <c r="A32" s="2">
        <f>Raw_Data!A32</f>
        <v>100031</v>
      </c>
      <c r="B32" s="3" t="e">
        <f>DATEVALUE(Raw_Data!B32)</f>
        <v>#VALUE!</v>
      </c>
      <c r="C32" s="2" t="e">
        <f t="shared" si="0"/>
        <v>#VALUE!</v>
      </c>
      <c r="D32" s="2" t="str">
        <f>PROPER(TRIM(Raw_Data!C32))</f>
        <v>Vivaan Iyer</v>
      </c>
      <c r="E32" s="2" t="str">
        <f>PROPER(TRIM(Raw_Data!D32))</f>
        <v>South</v>
      </c>
      <c r="F32" s="2" t="str">
        <f>PROPER(TRIM(Raw_Data!E32))</f>
        <v>Clothing</v>
      </c>
      <c r="G32" s="2" t="str">
        <f>PROPER(TRIM(Raw_Data!F32))</f>
        <v>Jackets</v>
      </c>
      <c r="H32" s="2" t="str">
        <f>Raw_Data!G32</f>
        <v>WinterGuard</v>
      </c>
      <c r="I32" s="2">
        <f>Raw_Data!H32</f>
        <v>2</v>
      </c>
      <c r="J32" s="4">
        <f>Raw_Data!I32</f>
        <v>2811.01</v>
      </c>
      <c r="K32" s="4">
        <f>Raw_Data!J32</f>
        <v>1405.51</v>
      </c>
      <c r="L32" s="5">
        <f>IF(Raw_Data!K32="",0,Raw_Data!K32)</f>
        <v>0.05</v>
      </c>
      <c r="M32" s="4">
        <f t="shared" si="1"/>
        <v>5340.92</v>
      </c>
      <c r="N32" s="4">
        <f t="shared" si="2"/>
        <v>2529.9</v>
      </c>
      <c r="O32" s="6">
        <f t="shared" si="3"/>
        <v>0.47368243673374627</v>
      </c>
    </row>
    <row r="33" spans="1:15" ht="15" customHeight="1" x14ac:dyDescent="0.3">
      <c r="A33" s="2">
        <f>Raw_Data!A33</f>
        <v>100032</v>
      </c>
      <c r="B33" s="3">
        <f>DATEVALUE(Raw_Data!B33)</f>
        <v>45491</v>
      </c>
      <c r="C33" s="2" t="str">
        <f t="shared" si="0"/>
        <v>Jul-2024</v>
      </c>
      <c r="D33" s="2" t="str">
        <f>PROPER(TRIM(Raw_Data!C33))</f>
        <v>Neha Nair</v>
      </c>
      <c r="E33" s="2" t="str">
        <f>PROPER(TRIM(Raw_Data!D33))</f>
        <v>West</v>
      </c>
      <c r="F33" s="2" t="str">
        <f>PROPER(TRIM(Raw_Data!E33))</f>
        <v>Clothing</v>
      </c>
      <c r="G33" s="2" t="str">
        <f>PROPER(TRIM(Raw_Data!F33))</f>
        <v>T-Shirts</v>
      </c>
      <c r="H33" s="2" t="str">
        <f>Raw_Data!G33</f>
        <v>ActiveDry Sport</v>
      </c>
      <c r="I33" s="2">
        <f>Raw_Data!H33</f>
        <v>5</v>
      </c>
      <c r="J33" s="4">
        <f>Raw_Data!I33</f>
        <v>681.17</v>
      </c>
      <c r="K33" s="4">
        <f>Raw_Data!J33</f>
        <v>306.52999999999997</v>
      </c>
      <c r="L33" s="5">
        <f>IF(Raw_Data!K33="",0,Raw_Data!K33)</f>
        <v>0.2</v>
      </c>
      <c r="M33" s="4">
        <f t="shared" si="1"/>
        <v>2724.68</v>
      </c>
      <c r="N33" s="4">
        <f t="shared" si="2"/>
        <v>1192.03</v>
      </c>
      <c r="O33" s="6">
        <f t="shared" si="3"/>
        <v>0.43749357722741755</v>
      </c>
    </row>
    <row r="34" spans="1:15" ht="15" customHeight="1" x14ac:dyDescent="0.3">
      <c r="A34" s="2">
        <f>Raw_Data!A34</f>
        <v>100033</v>
      </c>
      <c r="B34" s="3" t="e">
        <f>DATEVALUE(Raw_Data!B34)</f>
        <v>#VALUE!</v>
      </c>
      <c r="C34" s="2" t="e">
        <f t="shared" si="0"/>
        <v>#VALUE!</v>
      </c>
      <c r="D34" s="2" t="str">
        <f>PROPER(TRIM(Raw_Data!C34))</f>
        <v>Kabir Bose</v>
      </c>
      <c r="E34" s="2" t="str">
        <f>PROPER(TRIM(Raw_Data!D34))</f>
        <v>West</v>
      </c>
      <c r="F34" s="2" t="str">
        <f>PROPER(TRIM(Raw_Data!E34))</f>
        <v>Furniture</v>
      </c>
      <c r="G34" s="2" t="str">
        <f>PROPER(TRIM(Raw_Data!F34))</f>
        <v>Chairs</v>
      </c>
      <c r="H34" s="2" t="str">
        <f>Raw_Data!G34</f>
        <v>ClassicWood</v>
      </c>
      <c r="I34" s="2">
        <f>Raw_Data!H34</f>
        <v>10</v>
      </c>
      <c r="J34" s="4">
        <f>Raw_Data!I34</f>
        <v>5321.53</v>
      </c>
      <c r="K34" s="4">
        <f>Raw_Data!J34</f>
        <v>3458.99</v>
      </c>
      <c r="L34" s="5">
        <f>IF(Raw_Data!K34="",0,Raw_Data!K34)</f>
        <v>0</v>
      </c>
      <c r="M34" s="4">
        <f t="shared" si="1"/>
        <v>53215.3</v>
      </c>
      <c r="N34" s="4">
        <f t="shared" si="2"/>
        <v>18625.400000000001</v>
      </c>
      <c r="O34" s="6">
        <f t="shared" si="3"/>
        <v>0.35000084562146599</v>
      </c>
    </row>
    <row r="35" spans="1:15" ht="15" customHeight="1" x14ac:dyDescent="0.3">
      <c r="A35" s="2">
        <f>Raw_Data!A35</f>
        <v>100034</v>
      </c>
      <c r="B35" s="3" t="e">
        <f>DATEVALUE(Raw_Data!B35)</f>
        <v>#VALUE!</v>
      </c>
      <c r="C35" s="2" t="e">
        <f t="shared" si="0"/>
        <v>#VALUE!</v>
      </c>
      <c r="D35" s="2" t="str">
        <f>PROPER(TRIM(Raw_Data!C35))</f>
        <v>Arjun Gupta</v>
      </c>
      <c r="E35" s="2" t="str">
        <f>PROPER(TRIM(Raw_Data!D35))</f>
        <v>East</v>
      </c>
      <c r="F35" s="2" t="str">
        <f>PROPER(TRIM(Raw_Data!E35))</f>
        <v>Clothing</v>
      </c>
      <c r="G35" s="2" t="str">
        <f>PROPER(TRIM(Raw_Data!F35))</f>
        <v>Shoes</v>
      </c>
      <c r="H35" s="2" t="str">
        <f>Raw_Data!G35</f>
        <v>WalkEase Casual</v>
      </c>
      <c r="I35" s="2">
        <f>Raw_Data!H35</f>
        <v>8</v>
      </c>
      <c r="J35" s="4">
        <f>Raw_Data!I35</f>
        <v>1809.79</v>
      </c>
      <c r="K35" s="4">
        <f>Raw_Data!J35</f>
        <v>904.89</v>
      </c>
      <c r="L35" s="5">
        <f>IF(Raw_Data!K35="",0,Raw_Data!K35)</f>
        <v>0.1</v>
      </c>
      <c r="M35" s="4">
        <f t="shared" si="1"/>
        <v>13030.49</v>
      </c>
      <c r="N35" s="4">
        <f t="shared" si="2"/>
        <v>5791.37</v>
      </c>
      <c r="O35" s="6">
        <f t="shared" si="3"/>
        <v>0.44444759943793366</v>
      </c>
    </row>
    <row r="36" spans="1:15" ht="15" customHeight="1" x14ac:dyDescent="0.3">
      <c r="A36" s="2">
        <f>Raw_Data!A36</f>
        <v>100035</v>
      </c>
      <c r="B36" s="3" t="e">
        <f>DATEVALUE(Raw_Data!B36)</f>
        <v>#VALUE!</v>
      </c>
      <c r="C36" s="2" t="e">
        <f t="shared" si="0"/>
        <v>#VALUE!</v>
      </c>
      <c r="D36" s="2" t="str">
        <f>PROPER(TRIM(Raw_Data!C36))</f>
        <v>Aman Chopra</v>
      </c>
      <c r="E36" s="2" t="str">
        <f>PROPER(TRIM(Raw_Data!D36))</f>
        <v>South</v>
      </c>
      <c r="F36" s="2" t="str">
        <f>PROPER(TRIM(Raw_Data!E36))</f>
        <v>Furniture</v>
      </c>
      <c r="G36" s="2" t="str">
        <f>PROPER(TRIM(Raw_Data!F36))</f>
        <v>Desks</v>
      </c>
      <c r="H36" s="2" t="str">
        <f>Raw_Data!G36</f>
        <v>CornerFit Desk</v>
      </c>
      <c r="I36" s="2">
        <f>Raw_Data!H36</f>
        <v>11</v>
      </c>
      <c r="J36" s="4">
        <f>Raw_Data!I36</f>
        <v>9455.73</v>
      </c>
      <c r="K36" s="4">
        <f>Raw_Data!J36</f>
        <v>5484.32</v>
      </c>
      <c r="L36" s="5">
        <f>IF(Raw_Data!K36="",0,Raw_Data!K36)</f>
        <v>0</v>
      </c>
      <c r="M36" s="4">
        <f t="shared" si="1"/>
        <v>104013.03</v>
      </c>
      <c r="N36" s="4">
        <f t="shared" si="2"/>
        <v>43685.51</v>
      </c>
      <c r="O36" s="6">
        <f t="shared" si="3"/>
        <v>0.4200003595703346</v>
      </c>
    </row>
    <row r="37" spans="1:15" ht="15" customHeight="1" x14ac:dyDescent="0.3">
      <c r="A37" s="2">
        <f>Raw_Data!A37</f>
        <v>100036</v>
      </c>
      <c r="B37" s="3">
        <f>DATEVALUE(Raw_Data!B37)</f>
        <v>45504</v>
      </c>
      <c r="C37" s="2" t="str">
        <f t="shared" si="0"/>
        <v>Jul-2024</v>
      </c>
      <c r="D37" s="2" t="str">
        <f>PROPER(TRIM(Raw_Data!C37))</f>
        <v>Aditya Agarwal</v>
      </c>
      <c r="E37" s="2" t="str">
        <f>PROPER(TRIM(Raw_Data!D37))</f>
        <v>North</v>
      </c>
      <c r="F37" s="2" t="str">
        <f>PROPER(TRIM(Raw_Data!E37))</f>
        <v>Electronics</v>
      </c>
      <c r="G37" s="2" t="str">
        <f>PROPER(TRIM(Raw_Data!F37))</f>
        <v>Monitors</v>
      </c>
      <c r="H37" s="2" t="str">
        <f>Raw_Data!G37</f>
        <v>CurveTech 32</v>
      </c>
      <c r="I37" s="2">
        <f>Raw_Data!H37</f>
        <v>11</v>
      </c>
      <c r="J37" s="4">
        <f>Raw_Data!I37</f>
        <v>22428.91</v>
      </c>
      <c r="K37" s="4">
        <f>Raw_Data!J37</f>
        <v>13008.77</v>
      </c>
      <c r="L37" s="5">
        <f>IF(Raw_Data!K37="",0,Raw_Data!K37)</f>
        <v>0.1</v>
      </c>
      <c r="M37" s="4">
        <f t="shared" si="1"/>
        <v>222046.21</v>
      </c>
      <c r="N37" s="4">
        <f t="shared" si="2"/>
        <v>78949.740000000005</v>
      </c>
      <c r="O37" s="6">
        <f t="shared" si="3"/>
        <v>0.35555544947153123</v>
      </c>
    </row>
    <row r="38" spans="1:15" ht="15" customHeight="1" x14ac:dyDescent="0.3">
      <c r="A38" s="2">
        <f>Raw_Data!A38</f>
        <v>100037</v>
      </c>
      <c r="B38" s="3" t="e">
        <f>DATEVALUE(Raw_Data!B38)</f>
        <v>#VALUE!</v>
      </c>
      <c r="C38" s="2" t="e">
        <f t="shared" si="0"/>
        <v>#VALUE!</v>
      </c>
      <c r="D38" s="2" t="str">
        <f>PROPER(TRIM(Raw_Data!C38))</f>
        <v>Aarav Rao</v>
      </c>
      <c r="E38" s="2" t="str">
        <f>PROPER(TRIM(Raw_Data!D38))</f>
        <v>North</v>
      </c>
      <c r="F38" s="2" t="str">
        <f>PROPER(TRIM(Raw_Data!E38))</f>
        <v>Electronics</v>
      </c>
      <c r="G38" s="2" t="str">
        <f>PROPER(TRIM(Raw_Data!F38))</f>
        <v>Monitors</v>
      </c>
      <c r="H38" s="2" t="str">
        <f>Raw_Data!G38</f>
        <v>CurveTech 32</v>
      </c>
      <c r="I38" s="2">
        <f>Raw_Data!H38</f>
        <v>7</v>
      </c>
      <c r="J38" s="4">
        <f>Raw_Data!I38</f>
        <v>21755.95</v>
      </c>
      <c r="K38" s="4">
        <f>Raw_Data!J38</f>
        <v>12618.45</v>
      </c>
      <c r="L38" s="5">
        <f>IF(Raw_Data!K38="",0,Raw_Data!K38)</f>
        <v>0</v>
      </c>
      <c r="M38" s="4">
        <f t="shared" si="1"/>
        <v>152291.65</v>
      </c>
      <c r="N38" s="4">
        <f t="shared" si="2"/>
        <v>63962.5</v>
      </c>
      <c r="O38" s="6">
        <f t="shared" si="3"/>
        <v>0.42000004596443735</v>
      </c>
    </row>
    <row r="39" spans="1:15" ht="15" customHeight="1" x14ac:dyDescent="0.3">
      <c r="A39" s="2">
        <f>Raw_Data!A39</f>
        <v>100038</v>
      </c>
      <c r="B39" s="3">
        <f>DATEVALUE(Raw_Data!B39)</f>
        <v>45545</v>
      </c>
      <c r="C39" s="2" t="str">
        <f t="shared" si="0"/>
        <v>Sep-2024</v>
      </c>
      <c r="D39" s="2" t="str">
        <f>PROPER(TRIM(Raw_Data!C39))</f>
        <v>Yash Nair</v>
      </c>
      <c r="E39" s="2" t="str">
        <f>PROPER(TRIM(Raw_Data!D39))</f>
        <v>West</v>
      </c>
      <c r="F39" s="2" t="str">
        <f>PROPER(TRIM(Raw_Data!E39))</f>
        <v>Furniture</v>
      </c>
      <c r="G39" s="2" t="str">
        <f>PROPER(TRIM(Raw_Data!F39))</f>
        <v>Bookshelves</v>
      </c>
      <c r="H39" s="2" t="str">
        <f>Raw_Data!G39</f>
        <v>MetalFrame Open</v>
      </c>
      <c r="I39" s="2">
        <f>Raw_Data!H39</f>
        <v>8</v>
      </c>
      <c r="J39" s="4">
        <f>Raw_Data!I39</f>
        <v>2919.21</v>
      </c>
      <c r="K39" s="4">
        <f>Raw_Data!J39</f>
        <v>1809.91</v>
      </c>
      <c r="L39" s="5">
        <f>IF(Raw_Data!K39="",0,Raw_Data!K39)</f>
        <v>0.15</v>
      </c>
      <c r="M39" s="4">
        <f t="shared" si="1"/>
        <v>19850.63</v>
      </c>
      <c r="N39" s="4">
        <f t="shared" si="2"/>
        <v>5371.35</v>
      </c>
      <c r="O39" s="6">
        <f t="shared" si="3"/>
        <v>0.27058838938613033</v>
      </c>
    </row>
    <row r="40" spans="1:15" ht="15" customHeight="1" x14ac:dyDescent="0.3">
      <c r="A40" s="2">
        <f>Raw_Data!A40</f>
        <v>100039</v>
      </c>
      <c r="B40" s="3" t="e">
        <f>DATEVALUE(Raw_Data!B40)</f>
        <v>#VALUE!</v>
      </c>
      <c r="C40" s="2" t="e">
        <f t="shared" si="0"/>
        <v>#VALUE!</v>
      </c>
      <c r="D40" s="2" t="str">
        <f>PROPER(TRIM(Raw_Data!C40))</f>
        <v>Diya Joshi</v>
      </c>
      <c r="E40" s="2" t="str">
        <f>PROPER(TRIM(Raw_Data!D40))</f>
        <v>West</v>
      </c>
      <c r="F40" s="2" t="str">
        <f>PROPER(TRIM(Raw_Data!E40))</f>
        <v>Office Supplies</v>
      </c>
      <c r="G40" s="2" t="str">
        <f>PROPER(TRIM(Raw_Data!F40))</f>
        <v>Paper</v>
      </c>
      <c r="H40" s="2" t="str">
        <f>Raw_Data!G40</f>
        <v>CopyMax A4 Ream</v>
      </c>
      <c r="I40" s="2">
        <f>Raw_Data!H40</f>
        <v>6</v>
      </c>
      <c r="J40" s="4">
        <f>Raw_Data!I40</f>
        <v>243.41</v>
      </c>
      <c r="K40" s="4">
        <f>Raw_Data!J40</f>
        <v>121.7</v>
      </c>
      <c r="L40" s="5">
        <f>IF(Raw_Data!K40="",0,Raw_Data!K40)</f>
        <v>0</v>
      </c>
      <c r="M40" s="4">
        <f t="shared" si="1"/>
        <v>1460.46</v>
      </c>
      <c r="N40" s="4">
        <f t="shared" si="2"/>
        <v>730.26</v>
      </c>
      <c r="O40" s="6">
        <f t="shared" si="3"/>
        <v>0.50002054147323449</v>
      </c>
    </row>
    <row r="41" spans="1:15" ht="15" customHeight="1" x14ac:dyDescent="0.3">
      <c r="A41" s="2">
        <f>Raw_Data!A41</f>
        <v>100040</v>
      </c>
      <c r="B41" s="3">
        <f>DATEVALUE(Raw_Data!B41)</f>
        <v>45352</v>
      </c>
      <c r="C41" s="2" t="str">
        <f t="shared" si="0"/>
        <v>Mar-2024</v>
      </c>
      <c r="D41" s="2" t="str">
        <f>PROPER(TRIM(Raw_Data!C41))</f>
        <v>Arjun Malhotra</v>
      </c>
      <c r="E41" s="2" t="str">
        <f>PROPER(TRIM(Raw_Data!D41))</f>
        <v>West</v>
      </c>
      <c r="F41" s="2" t="str">
        <f>PROPER(TRIM(Raw_Data!E41))</f>
        <v>Clothing</v>
      </c>
      <c r="G41" s="2" t="str">
        <f>PROPER(TRIM(Raw_Data!F41))</f>
        <v>Jackets</v>
      </c>
      <c r="H41" s="2" t="str">
        <f>Raw_Data!G41</f>
        <v>RainShield Pro</v>
      </c>
      <c r="I41" s="2">
        <f>Raw_Data!H41</f>
        <v>11</v>
      </c>
      <c r="J41" s="4">
        <f>Raw_Data!I41</f>
        <v>2293.59</v>
      </c>
      <c r="K41" s="4">
        <f>Raw_Data!J41</f>
        <v>1146.79</v>
      </c>
      <c r="L41" s="5">
        <f>IF(Raw_Data!K41="",0,Raw_Data!K41)</f>
        <v>0.1</v>
      </c>
      <c r="M41" s="4">
        <f t="shared" si="1"/>
        <v>22706.54</v>
      </c>
      <c r="N41" s="4">
        <f t="shared" si="2"/>
        <v>10091.85</v>
      </c>
      <c r="O41" s="6">
        <f t="shared" si="3"/>
        <v>0.44444684218731695</v>
      </c>
    </row>
    <row r="42" spans="1:15" ht="15" customHeight="1" x14ac:dyDescent="0.3">
      <c r="A42" s="2">
        <f>Raw_Data!A42</f>
        <v>100041</v>
      </c>
      <c r="B42" s="3">
        <f>DATEVALUE(Raw_Data!B42)</f>
        <v>45485</v>
      </c>
      <c r="C42" s="2" t="str">
        <f t="shared" si="0"/>
        <v>Jul-2024</v>
      </c>
      <c r="D42" s="2" t="str">
        <f>PROPER(TRIM(Raw_Data!C42))</f>
        <v>Ishaan Shah</v>
      </c>
      <c r="E42" s="2" t="str">
        <f>PROPER(TRIM(Raw_Data!D42))</f>
        <v>East</v>
      </c>
      <c r="F42" s="2" t="str">
        <f>PROPER(TRIM(Raw_Data!E42))</f>
        <v>Office Supplies</v>
      </c>
      <c r="G42" s="2" t="str">
        <f>PROPER(TRIM(Raw_Data!F42))</f>
        <v>Binders</v>
      </c>
      <c r="H42" s="2" t="str">
        <f>Raw_Data!G42</f>
        <v>ClampBind Pro</v>
      </c>
      <c r="I42" s="2">
        <f>Raw_Data!H42</f>
        <v>5</v>
      </c>
      <c r="J42" s="4">
        <f>Raw_Data!I42</f>
        <v>206.36</v>
      </c>
      <c r="K42" s="4">
        <f>Raw_Data!J42</f>
        <v>99.05</v>
      </c>
      <c r="L42" s="5">
        <f>IF(Raw_Data!K42="",0,Raw_Data!K42)</f>
        <v>0</v>
      </c>
      <c r="M42" s="4">
        <f t="shared" si="1"/>
        <v>1031.8</v>
      </c>
      <c r="N42" s="4">
        <f t="shared" si="2"/>
        <v>536.54999999999995</v>
      </c>
      <c r="O42" s="6">
        <f t="shared" si="3"/>
        <v>0.5200135685210312</v>
      </c>
    </row>
    <row r="43" spans="1:15" ht="15" customHeight="1" x14ac:dyDescent="0.3">
      <c r="A43" s="2">
        <f>Raw_Data!A43</f>
        <v>100042</v>
      </c>
      <c r="B43" s="3">
        <f>DATEVALUE(Raw_Data!B43)</f>
        <v>45314</v>
      </c>
      <c r="C43" s="2" t="str">
        <f t="shared" si="0"/>
        <v>Jan-2024</v>
      </c>
      <c r="D43" s="2" t="str">
        <f>PROPER(TRIM(Raw_Data!C43))</f>
        <v>Riya Verma</v>
      </c>
      <c r="E43" s="2" t="str">
        <f>PROPER(TRIM(Raw_Data!D43))</f>
        <v>East</v>
      </c>
      <c r="F43" s="2" t="str">
        <f>PROPER(TRIM(Raw_Data!E43))</f>
        <v>Electronics</v>
      </c>
      <c r="G43" s="2" t="str">
        <f>PROPER(TRIM(Raw_Data!F43))</f>
        <v>Headphones</v>
      </c>
      <c r="H43" s="2" t="str">
        <f>Raw_Data!G43</f>
        <v>BassBeat Mini</v>
      </c>
      <c r="I43" s="2">
        <f>Raw_Data!H43</f>
        <v>4</v>
      </c>
      <c r="J43" s="4">
        <f>Raw_Data!I43</f>
        <v>1196.3</v>
      </c>
      <c r="K43" s="4">
        <f>Raw_Data!J43</f>
        <v>717.78</v>
      </c>
      <c r="L43" s="5">
        <f>IF(Raw_Data!K43="",0,Raw_Data!K43)</f>
        <v>0.05</v>
      </c>
      <c r="M43" s="4">
        <f t="shared" si="1"/>
        <v>4545.9399999999996</v>
      </c>
      <c r="N43" s="4">
        <f t="shared" si="2"/>
        <v>1674.82</v>
      </c>
      <c r="O43" s="6">
        <f t="shared" si="3"/>
        <v>0.36842105263157898</v>
      </c>
    </row>
    <row r="44" spans="1:15" ht="15" customHeight="1" x14ac:dyDescent="0.3">
      <c r="A44" s="2">
        <f>Raw_Data!A44</f>
        <v>100043</v>
      </c>
      <c r="B44" s="3" t="e">
        <f>DATEVALUE(Raw_Data!B44)</f>
        <v>#VALUE!</v>
      </c>
      <c r="C44" s="2" t="e">
        <f t="shared" si="0"/>
        <v>#VALUE!</v>
      </c>
      <c r="D44" s="2" t="str">
        <f>PROPER(TRIM(Raw_Data!C44))</f>
        <v>Ishaan Gupta</v>
      </c>
      <c r="E44" s="2" t="str">
        <f>PROPER(TRIM(Raw_Data!D44))</f>
        <v>North</v>
      </c>
      <c r="F44" s="2" t="str">
        <f>PROPER(TRIM(Raw_Data!E44))</f>
        <v>Office Supplies</v>
      </c>
      <c r="G44" s="2" t="str">
        <f>PROPER(TRIM(Raw_Data!F44))</f>
        <v>Binders</v>
      </c>
      <c r="H44" s="2" t="str">
        <f>Raw_Data!G44</f>
        <v>ClampBind Pro</v>
      </c>
      <c r="I44" s="2">
        <f>Raw_Data!H44</f>
        <v>8</v>
      </c>
      <c r="J44" s="4">
        <f>Raw_Data!I44</f>
        <v>208.8</v>
      </c>
      <c r="K44" s="4">
        <f>Raw_Data!J44</f>
        <v>100.22</v>
      </c>
      <c r="L44" s="5">
        <f>IF(Raw_Data!K44="",0,Raw_Data!K44)</f>
        <v>0</v>
      </c>
      <c r="M44" s="4">
        <f t="shared" si="1"/>
        <v>1670.4</v>
      </c>
      <c r="N44" s="4">
        <f t="shared" si="2"/>
        <v>868.64</v>
      </c>
      <c r="O44" s="6">
        <f t="shared" si="3"/>
        <v>0.52001915708812252</v>
      </c>
    </row>
    <row r="45" spans="1:15" ht="15" customHeight="1" x14ac:dyDescent="0.3">
      <c r="A45" s="2">
        <f>Raw_Data!A45</f>
        <v>100044</v>
      </c>
      <c r="B45" s="3">
        <f>DATEVALUE(Raw_Data!B45)</f>
        <v>45591</v>
      </c>
      <c r="C45" s="2" t="str">
        <f t="shared" si="0"/>
        <v>Oct-2024</v>
      </c>
      <c r="D45" s="2" t="str">
        <f>PROPER(TRIM(Raw_Data!C45))</f>
        <v>Aman Pillai</v>
      </c>
      <c r="E45" s="2" t="str">
        <f>PROPER(TRIM(Raw_Data!D45))</f>
        <v>East</v>
      </c>
      <c r="F45" s="2" t="str">
        <f>PROPER(TRIM(Raw_Data!E45))</f>
        <v>Electronics</v>
      </c>
      <c r="G45" s="2" t="str">
        <f>PROPER(TRIM(Raw_Data!F45))</f>
        <v>Headphones</v>
      </c>
      <c r="H45" s="2" t="str">
        <f>Raw_Data!G45</f>
        <v>SoundMax Pro</v>
      </c>
      <c r="I45" s="2">
        <f>Raw_Data!H45</f>
        <v>9</v>
      </c>
      <c r="J45" s="4">
        <f>Raw_Data!I45</f>
        <v>2623.44</v>
      </c>
      <c r="K45" s="4">
        <f>Raw_Data!J45</f>
        <v>1442.89</v>
      </c>
      <c r="L45" s="5">
        <f>IF(Raw_Data!K45="",0,Raw_Data!K45)</f>
        <v>0.1</v>
      </c>
      <c r="M45" s="4">
        <f t="shared" si="1"/>
        <v>21249.86</v>
      </c>
      <c r="N45" s="4">
        <f t="shared" si="2"/>
        <v>8263.85</v>
      </c>
      <c r="O45" s="6">
        <f t="shared" si="3"/>
        <v>0.38888962091985546</v>
      </c>
    </row>
    <row r="46" spans="1:15" ht="15" customHeight="1" x14ac:dyDescent="0.3">
      <c r="A46" s="2">
        <f>Raw_Data!A46</f>
        <v>100045</v>
      </c>
      <c r="B46" s="3">
        <f>DATEVALUE(Raw_Data!B46)</f>
        <v>45359</v>
      </c>
      <c r="C46" s="2" t="str">
        <f t="shared" si="0"/>
        <v>Mar-2024</v>
      </c>
      <c r="D46" s="2" t="str">
        <f>PROPER(TRIM(Raw_Data!C46))</f>
        <v>Rahul Gupta</v>
      </c>
      <c r="E46" s="2" t="str">
        <f>PROPER(TRIM(Raw_Data!D46))</f>
        <v>North</v>
      </c>
      <c r="F46" s="2" t="str">
        <f>PROPER(TRIM(Raw_Data!E46))</f>
        <v>Electronics</v>
      </c>
      <c r="G46" s="2" t="str">
        <f>PROPER(TRIM(Raw_Data!F46))</f>
        <v>Headphones</v>
      </c>
      <c r="H46" s="2" t="str">
        <f>Raw_Data!G46</f>
        <v>StudioFit</v>
      </c>
      <c r="I46" s="2">
        <f>Raw_Data!H46</f>
        <v>4</v>
      </c>
      <c r="J46" s="4">
        <f>Raw_Data!I46</f>
        <v>3150.09</v>
      </c>
      <c r="K46" s="4">
        <f>Raw_Data!J46</f>
        <v>1575.05</v>
      </c>
      <c r="L46" s="5">
        <f>IF(Raw_Data!K46="",0,Raw_Data!K46)</f>
        <v>0</v>
      </c>
      <c r="M46" s="4">
        <f t="shared" si="1"/>
        <v>12600.36</v>
      </c>
      <c r="N46" s="4">
        <f t="shared" si="2"/>
        <v>6300.16</v>
      </c>
      <c r="O46" s="6">
        <f t="shared" si="3"/>
        <v>0.49999841274376283</v>
      </c>
    </row>
    <row r="47" spans="1:15" ht="15" customHeight="1" x14ac:dyDescent="0.3">
      <c r="A47" s="2">
        <f>Raw_Data!A47</f>
        <v>100046</v>
      </c>
      <c r="B47" s="3">
        <f>DATEVALUE(Raw_Data!B47)</f>
        <v>45587</v>
      </c>
      <c r="C47" s="2" t="str">
        <f t="shared" si="0"/>
        <v>Oct-2024</v>
      </c>
      <c r="D47" s="2" t="str">
        <f>PROPER(TRIM(Raw_Data!C47))</f>
        <v>Aadhya Singh</v>
      </c>
      <c r="E47" s="2" t="str">
        <f>PROPER(TRIM(Raw_Data!D47))</f>
        <v>East</v>
      </c>
      <c r="F47" s="2" t="str">
        <f>PROPER(TRIM(Raw_Data!E47))</f>
        <v>Clothing</v>
      </c>
      <c r="G47" s="2" t="str">
        <f>PROPER(TRIM(Raw_Data!F47))</f>
        <v>T-Shirts</v>
      </c>
      <c r="H47" s="2" t="str">
        <f>Raw_Data!G47</f>
        <v>CottonBasic</v>
      </c>
      <c r="I47" s="2">
        <f>Raw_Data!H47</f>
        <v>5</v>
      </c>
      <c r="J47" s="4">
        <f>Raw_Data!I47</f>
        <v>473.59</v>
      </c>
      <c r="K47" s="4">
        <f>Raw_Data!J47</f>
        <v>213.11</v>
      </c>
      <c r="L47" s="5">
        <f>IF(Raw_Data!K47="",0,Raw_Data!K47)</f>
        <v>0.15</v>
      </c>
      <c r="M47" s="4">
        <f t="shared" si="1"/>
        <v>2012.76</v>
      </c>
      <c r="N47" s="4">
        <f t="shared" si="2"/>
        <v>947.21</v>
      </c>
      <c r="O47" s="6">
        <f t="shared" si="3"/>
        <v>0.47060255569466802</v>
      </c>
    </row>
    <row r="48" spans="1:15" ht="15" customHeight="1" x14ac:dyDescent="0.3">
      <c r="A48" s="2">
        <f>Raw_Data!A48</f>
        <v>100047</v>
      </c>
      <c r="B48" s="3" t="e">
        <f>DATEVALUE(Raw_Data!B48)</f>
        <v>#VALUE!</v>
      </c>
      <c r="C48" s="2" t="e">
        <f t="shared" si="0"/>
        <v>#VALUE!</v>
      </c>
      <c r="D48" s="2" t="str">
        <f>PROPER(TRIM(Raw_Data!C48))</f>
        <v>Pooja Shah</v>
      </c>
      <c r="E48" s="2" t="str">
        <f>PROPER(TRIM(Raw_Data!D48))</f>
        <v>East</v>
      </c>
      <c r="F48" s="2" t="str">
        <f>PROPER(TRIM(Raw_Data!E48))</f>
        <v>Office Supplies</v>
      </c>
      <c r="G48" s="2" t="str">
        <f>PROPER(TRIM(Raw_Data!F48))</f>
        <v>Binders</v>
      </c>
      <c r="H48" s="2" t="str">
        <f>Raw_Data!G48</f>
        <v>RingFile A4</v>
      </c>
      <c r="I48" s="2">
        <f>Raw_Data!H48</f>
        <v>8</v>
      </c>
      <c r="J48" s="4">
        <f>Raw_Data!I48</f>
        <v>187.12</v>
      </c>
      <c r="K48" s="4">
        <f>Raw_Data!J48</f>
        <v>89.82</v>
      </c>
      <c r="L48" s="5">
        <f>IF(Raw_Data!K48="",0,Raw_Data!K48)</f>
        <v>0.15</v>
      </c>
      <c r="M48" s="4">
        <f t="shared" si="1"/>
        <v>1272.42</v>
      </c>
      <c r="N48" s="4">
        <f t="shared" si="2"/>
        <v>553.86</v>
      </c>
      <c r="O48" s="6">
        <f t="shared" si="3"/>
        <v>0.43528080350827558</v>
      </c>
    </row>
    <row r="49" spans="1:15" ht="15" customHeight="1" x14ac:dyDescent="0.3">
      <c r="A49" s="2">
        <f>Raw_Data!A49</f>
        <v>100048</v>
      </c>
      <c r="B49" s="3" t="e">
        <f>DATEVALUE(Raw_Data!B49)</f>
        <v>#VALUE!</v>
      </c>
      <c r="C49" s="2" t="e">
        <f t="shared" si="0"/>
        <v>#VALUE!</v>
      </c>
      <c r="D49" s="2" t="str">
        <f>PROPER(TRIM(Raw_Data!C49))</f>
        <v>Meera Joshi</v>
      </c>
      <c r="E49" s="2" t="str">
        <f>PROPER(TRIM(Raw_Data!D49))</f>
        <v>North</v>
      </c>
      <c r="F49" s="2" t="str">
        <f>PROPER(TRIM(Raw_Data!E49))</f>
        <v>Furniture</v>
      </c>
      <c r="G49" s="2" t="str">
        <f>PROPER(TRIM(Raw_Data!F49))</f>
        <v>Chairs</v>
      </c>
      <c r="H49" s="2" t="str">
        <f>Raw_Data!G49</f>
        <v>MeshFlex Pro</v>
      </c>
      <c r="I49" s="2">
        <f>Raw_Data!H49</f>
        <v>5</v>
      </c>
      <c r="J49" s="4">
        <f>Raw_Data!I49</f>
        <v>7276.88</v>
      </c>
      <c r="K49" s="4">
        <f>Raw_Data!J49</f>
        <v>4511.66</v>
      </c>
      <c r="L49" s="5">
        <f>IF(Raw_Data!K49="",0,Raw_Data!K49)</f>
        <v>0.2</v>
      </c>
      <c r="M49" s="4">
        <f t="shared" si="1"/>
        <v>29107.52</v>
      </c>
      <c r="N49" s="4">
        <f t="shared" si="2"/>
        <v>6549.22</v>
      </c>
      <c r="O49" s="6">
        <f t="shared" si="3"/>
        <v>0.22500096195072614</v>
      </c>
    </row>
    <row r="50" spans="1:15" ht="15" customHeight="1" x14ac:dyDescent="0.3">
      <c r="A50" s="2">
        <f>Raw_Data!A50</f>
        <v>100049</v>
      </c>
      <c r="B50" s="3" t="e">
        <f>DATEVALUE(Raw_Data!B50)</f>
        <v>#VALUE!</v>
      </c>
      <c r="C50" s="2" t="e">
        <f t="shared" si="0"/>
        <v>#VALUE!</v>
      </c>
      <c r="D50" s="2" t="str">
        <f>PROPER(TRIM(Raw_Data!C50))</f>
        <v>Simran Shah</v>
      </c>
      <c r="E50" s="2" t="str">
        <f>PROPER(TRIM(Raw_Data!D50))</f>
        <v>East</v>
      </c>
      <c r="F50" s="2" t="str">
        <f>PROPER(TRIM(Raw_Data!E50))</f>
        <v>Office Supplies</v>
      </c>
      <c r="G50" s="2" t="str">
        <f>PROPER(TRIM(Raw_Data!F50))</f>
        <v>Paper</v>
      </c>
      <c r="H50" s="2" t="str">
        <f>Raw_Data!G50</f>
        <v>PrintPro A4 Ream</v>
      </c>
      <c r="I50" s="2">
        <f>Raw_Data!H50</f>
        <v>6</v>
      </c>
      <c r="J50" s="4">
        <f>Raw_Data!I50</f>
        <v>280.98</v>
      </c>
      <c r="K50" s="4">
        <f>Raw_Data!J50</f>
        <v>140.49</v>
      </c>
      <c r="L50" s="5">
        <f>IF(Raw_Data!K50="",0,Raw_Data!K50)</f>
        <v>0</v>
      </c>
      <c r="M50" s="4">
        <f t="shared" si="1"/>
        <v>1685.88</v>
      </c>
      <c r="N50" s="4">
        <f t="shared" si="2"/>
        <v>842.94</v>
      </c>
      <c r="O50" s="6">
        <f t="shared" si="3"/>
        <v>0.5</v>
      </c>
    </row>
    <row r="51" spans="1:15" ht="15" customHeight="1" x14ac:dyDescent="0.3">
      <c r="A51" s="2">
        <f>Raw_Data!A51</f>
        <v>100050</v>
      </c>
      <c r="B51" s="3" t="e">
        <f>DATEVALUE(Raw_Data!B51)</f>
        <v>#VALUE!</v>
      </c>
      <c r="C51" s="2" t="e">
        <f t="shared" si="0"/>
        <v>#VALUE!</v>
      </c>
      <c r="D51" s="2" t="str">
        <f>PROPER(TRIM(Raw_Data!C51))</f>
        <v>Aman Verma</v>
      </c>
      <c r="E51" s="2" t="str">
        <f>PROPER(TRIM(Raw_Data!D51))</f>
        <v>North</v>
      </c>
      <c r="F51" s="2" t="str">
        <f>PROPER(TRIM(Raw_Data!E51))</f>
        <v>Clothing</v>
      </c>
      <c r="G51" s="2" t="str">
        <f>PROPER(TRIM(Raw_Data!F51))</f>
        <v>Bags</v>
      </c>
      <c r="H51" s="2" t="str">
        <f>Raw_Data!G51</f>
        <v>CityCarry Backpack</v>
      </c>
      <c r="I51" s="2">
        <f>Raw_Data!H51</f>
        <v>4</v>
      </c>
      <c r="J51" s="4">
        <f>Raw_Data!I51</f>
        <v>1526.1</v>
      </c>
      <c r="K51" s="4">
        <f>Raw_Data!J51</f>
        <v>763.05</v>
      </c>
      <c r="L51" s="5">
        <f>IF(Raw_Data!K51="",0,Raw_Data!K51)</f>
        <v>0.1</v>
      </c>
      <c r="M51" s="4">
        <f t="shared" si="1"/>
        <v>5493.96</v>
      </c>
      <c r="N51" s="4">
        <f t="shared" si="2"/>
        <v>2441.7600000000002</v>
      </c>
      <c r="O51" s="6">
        <f t="shared" si="3"/>
        <v>0.44444444444444448</v>
      </c>
    </row>
    <row r="52" spans="1:15" ht="15" customHeight="1" x14ac:dyDescent="0.3">
      <c r="A52" s="2">
        <f>Raw_Data!A52</f>
        <v>100051</v>
      </c>
      <c r="B52" s="3">
        <f>DATEVALUE(Raw_Data!B52)</f>
        <v>45337</v>
      </c>
      <c r="C52" s="2" t="str">
        <f t="shared" si="0"/>
        <v>Feb-2024</v>
      </c>
      <c r="D52" s="2" t="str">
        <f>PROPER(TRIM(Raw_Data!C52))</f>
        <v>Manoj Patel</v>
      </c>
      <c r="E52" s="2" t="str">
        <f>PROPER(TRIM(Raw_Data!D52))</f>
        <v>South</v>
      </c>
      <c r="F52" s="2" t="str">
        <f>PROPER(TRIM(Raw_Data!E52))</f>
        <v>Furniture</v>
      </c>
      <c r="G52" s="2" t="str">
        <f>PROPER(TRIM(Raw_Data!F52))</f>
        <v>Bookshelves</v>
      </c>
      <c r="H52" s="2" t="str">
        <f>Raw_Data!G52</f>
        <v>WoodCraft 5-Tier</v>
      </c>
      <c r="I52" s="2">
        <f>Raw_Data!H52</f>
        <v>9</v>
      </c>
      <c r="J52" s="4">
        <f>Raw_Data!I52</f>
        <v>3410.33</v>
      </c>
      <c r="K52" s="4">
        <f>Raw_Data!J52</f>
        <v>2046.2</v>
      </c>
      <c r="L52" s="5">
        <f>IF(Raw_Data!K52="",0,Raw_Data!K52)</f>
        <v>0</v>
      </c>
      <c r="M52" s="4">
        <f t="shared" si="1"/>
        <v>30692.97</v>
      </c>
      <c r="N52" s="4">
        <f t="shared" si="2"/>
        <v>12277.17</v>
      </c>
      <c r="O52" s="6">
        <f t="shared" si="3"/>
        <v>0.3999994135464896</v>
      </c>
    </row>
    <row r="53" spans="1:15" ht="15" customHeight="1" x14ac:dyDescent="0.3">
      <c r="A53" s="2">
        <f>Raw_Data!A53</f>
        <v>100052</v>
      </c>
      <c r="B53" s="3">
        <f>DATEVALUE(Raw_Data!B53)</f>
        <v>45655</v>
      </c>
      <c r="C53" s="2" t="str">
        <f t="shared" si="0"/>
        <v>Dec-2024</v>
      </c>
      <c r="D53" s="2" t="str">
        <f>PROPER(TRIM(Raw_Data!C53))</f>
        <v>Yash Gupta</v>
      </c>
      <c r="E53" s="2" t="str">
        <f>PROPER(TRIM(Raw_Data!D53))</f>
        <v>South</v>
      </c>
      <c r="F53" s="2" t="str">
        <f>PROPER(TRIM(Raw_Data!E53))</f>
        <v>Clothing</v>
      </c>
      <c r="G53" s="2" t="str">
        <f>PROPER(TRIM(Raw_Data!F53))</f>
        <v>Jackets</v>
      </c>
      <c r="H53" s="2" t="str">
        <f>Raw_Data!G53</f>
        <v>RainShield Pro</v>
      </c>
      <c r="I53" s="2">
        <f>Raw_Data!H53</f>
        <v>4</v>
      </c>
      <c r="J53" s="4">
        <f>Raw_Data!I53</f>
        <v>2353.65</v>
      </c>
      <c r="K53" s="4">
        <f>Raw_Data!J53</f>
        <v>1176.83</v>
      </c>
      <c r="L53" s="5">
        <f>IF(Raw_Data!K53="",0,Raw_Data!K53)</f>
        <v>0.1</v>
      </c>
      <c r="M53" s="4">
        <f t="shared" si="1"/>
        <v>8473.14</v>
      </c>
      <c r="N53" s="4">
        <f t="shared" si="2"/>
        <v>3765.82</v>
      </c>
      <c r="O53" s="6">
        <f t="shared" si="3"/>
        <v>0.44444208404440388</v>
      </c>
    </row>
    <row r="54" spans="1:15" ht="15" customHeight="1" x14ac:dyDescent="0.3">
      <c r="A54" s="2">
        <f>Raw_Data!A54</f>
        <v>100053</v>
      </c>
      <c r="B54" s="3" t="e">
        <f>DATEVALUE(Raw_Data!B54)</f>
        <v>#VALUE!</v>
      </c>
      <c r="C54" s="2" t="e">
        <f t="shared" si="0"/>
        <v>#VALUE!</v>
      </c>
      <c r="D54" s="2" t="str">
        <f>PROPER(TRIM(Raw_Data!C54))</f>
        <v>Kiara Kapoor</v>
      </c>
      <c r="E54" s="2" t="str">
        <f>PROPER(TRIM(Raw_Data!D54))</f>
        <v>East</v>
      </c>
      <c r="F54" s="2" t="str">
        <f>PROPER(TRIM(Raw_Data!E54))</f>
        <v>Office Supplies</v>
      </c>
      <c r="G54" s="2" t="str">
        <f>PROPER(TRIM(Raw_Data!F54))</f>
        <v>Binders</v>
      </c>
      <c r="H54" s="2" t="str">
        <f>Raw_Data!G54</f>
        <v>RingFile A4</v>
      </c>
      <c r="I54" s="2">
        <f>Raw_Data!H54</f>
        <v>8</v>
      </c>
      <c r="J54" s="4">
        <f>Raw_Data!I54</f>
        <v>183.6</v>
      </c>
      <c r="K54" s="4">
        <f>Raw_Data!J54</f>
        <v>88.13</v>
      </c>
      <c r="L54" s="5">
        <f>IF(Raw_Data!K54="",0,Raw_Data!K54)</f>
        <v>0.05</v>
      </c>
      <c r="M54" s="4">
        <f t="shared" si="1"/>
        <v>1395.36</v>
      </c>
      <c r="N54" s="4">
        <f t="shared" si="2"/>
        <v>690.32</v>
      </c>
      <c r="O54" s="6">
        <f t="shared" si="3"/>
        <v>0.49472537553032914</v>
      </c>
    </row>
    <row r="55" spans="1:15" ht="15" customHeight="1" x14ac:dyDescent="0.3">
      <c r="A55" s="2">
        <f>Raw_Data!A55</f>
        <v>100054</v>
      </c>
      <c r="B55" s="3">
        <f>DATEVALUE(Raw_Data!B55)</f>
        <v>45367</v>
      </c>
      <c r="C55" s="2" t="str">
        <f t="shared" si="0"/>
        <v>Mar-2024</v>
      </c>
      <c r="D55" s="2" t="str">
        <f>PROPER(TRIM(Raw_Data!C55))</f>
        <v>Kabir Pillai</v>
      </c>
      <c r="E55" s="2" t="str">
        <f>PROPER(TRIM(Raw_Data!D55))</f>
        <v>East</v>
      </c>
      <c r="F55" s="2" t="str">
        <f>PROPER(TRIM(Raw_Data!E55))</f>
        <v>Clothing</v>
      </c>
      <c r="G55" s="2" t="str">
        <f>PROPER(TRIM(Raw_Data!F55))</f>
        <v>Bags</v>
      </c>
      <c r="H55" s="2" t="str">
        <f>Raw_Data!G55</f>
        <v>TravelMax Duffel</v>
      </c>
      <c r="I55" s="2">
        <f>Raw_Data!H55</f>
        <v>11</v>
      </c>
      <c r="J55" s="4">
        <f>Raw_Data!I55</f>
        <v>1895.42</v>
      </c>
      <c r="K55" s="4">
        <f>Raw_Data!J55</f>
        <v>947.71</v>
      </c>
      <c r="L55" s="5">
        <f>IF(Raw_Data!K55="",0,Raw_Data!K55)</f>
        <v>0.15</v>
      </c>
      <c r="M55" s="4">
        <f t="shared" si="1"/>
        <v>17722.18</v>
      </c>
      <c r="N55" s="4">
        <f t="shared" si="2"/>
        <v>7297.37</v>
      </c>
      <c r="O55" s="6">
        <f t="shared" si="3"/>
        <v>0.41176480545847066</v>
      </c>
    </row>
    <row r="56" spans="1:15" ht="15" customHeight="1" x14ac:dyDescent="0.3">
      <c r="A56" s="2">
        <f>Raw_Data!A56</f>
        <v>100055</v>
      </c>
      <c r="B56" s="3" t="e">
        <f>DATEVALUE(Raw_Data!B56)</f>
        <v>#VALUE!</v>
      </c>
      <c r="C56" s="2" t="e">
        <f t="shared" si="0"/>
        <v>#VALUE!</v>
      </c>
      <c r="D56" s="2" t="str">
        <f>PROPER(TRIM(Raw_Data!C56))</f>
        <v>Manoj Gupta</v>
      </c>
      <c r="E56" s="2" t="str">
        <f>PROPER(TRIM(Raw_Data!D56))</f>
        <v>North</v>
      </c>
      <c r="F56" s="2" t="str">
        <f>PROPER(TRIM(Raw_Data!E56))</f>
        <v>Furniture</v>
      </c>
      <c r="G56" s="2" t="str">
        <f>PROPER(TRIM(Raw_Data!F56))</f>
        <v>Cabinets</v>
      </c>
      <c r="H56" s="2" t="str">
        <f>Raw_Data!G56</f>
        <v>FileSafe Steel</v>
      </c>
      <c r="I56" s="2">
        <f>Raw_Data!H56</f>
        <v>2</v>
      </c>
      <c r="J56" s="4">
        <f>Raw_Data!I56</f>
        <v>5661.79</v>
      </c>
      <c r="K56" s="4">
        <f>Raw_Data!J56</f>
        <v>3397.07</v>
      </c>
      <c r="L56" s="5">
        <f>IF(Raw_Data!K56="",0,Raw_Data!K56)</f>
        <v>0.05</v>
      </c>
      <c r="M56" s="4">
        <f t="shared" si="1"/>
        <v>10757.4</v>
      </c>
      <c r="N56" s="4">
        <f t="shared" si="2"/>
        <v>3963.26</v>
      </c>
      <c r="O56" s="6">
        <f t="shared" si="3"/>
        <v>0.36842173759458607</v>
      </c>
    </row>
    <row r="57" spans="1:15" ht="15" customHeight="1" x14ac:dyDescent="0.3">
      <c r="A57" s="2">
        <f>Raw_Data!A57</f>
        <v>100056</v>
      </c>
      <c r="B57" s="3">
        <f>DATEVALUE(Raw_Data!B57)</f>
        <v>45406</v>
      </c>
      <c r="C57" s="2" t="str">
        <f t="shared" si="0"/>
        <v>Apr-2024</v>
      </c>
      <c r="D57" s="2" t="str">
        <f>PROPER(TRIM(Raw_Data!C57))</f>
        <v>Aadhya Singh</v>
      </c>
      <c r="E57" s="2" t="str">
        <f>PROPER(TRIM(Raw_Data!D57))</f>
        <v>West</v>
      </c>
      <c r="F57" s="2" t="str">
        <f>PROPER(TRIM(Raw_Data!E57))</f>
        <v>Electronics</v>
      </c>
      <c r="G57" s="2" t="str">
        <f>PROPER(TRIM(Raw_Data!F57))</f>
        <v>Laptops</v>
      </c>
      <c r="H57" s="2" t="str">
        <f>Raw_Data!G57</f>
        <v>ProBook 14</v>
      </c>
      <c r="I57" s="2">
        <f>Raw_Data!H57</f>
        <v>11</v>
      </c>
      <c r="J57" s="4">
        <f>Raw_Data!I57</f>
        <v>46753.74</v>
      </c>
      <c r="K57" s="4">
        <f>Raw_Data!J57</f>
        <v>30389.93</v>
      </c>
      <c r="L57" s="5">
        <f>IF(Raw_Data!K57="",0,Raw_Data!K57)</f>
        <v>0.05</v>
      </c>
      <c r="M57" s="4">
        <f t="shared" si="1"/>
        <v>488576.58</v>
      </c>
      <c r="N57" s="4">
        <f t="shared" si="2"/>
        <v>154287.35</v>
      </c>
      <c r="O57" s="6">
        <f t="shared" si="3"/>
        <v>0.31578949199734463</v>
      </c>
    </row>
    <row r="58" spans="1:15" ht="15" customHeight="1" x14ac:dyDescent="0.3">
      <c r="A58" s="2">
        <f>Raw_Data!A58</f>
        <v>100057</v>
      </c>
      <c r="B58" s="3">
        <f>DATEVALUE(Raw_Data!B58)</f>
        <v>45549</v>
      </c>
      <c r="C58" s="2" t="str">
        <f t="shared" si="0"/>
        <v>Sep-2024</v>
      </c>
      <c r="D58" s="2" t="str">
        <f>PROPER(TRIM(Raw_Data!C58))</f>
        <v>Rohan Reddy</v>
      </c>
      <c r="E58" s="2" t="str">
        <f>PROPER(TRIM(Raw_Data!D58))</f>
        <v>East</v>
      </c>
      <c r="F58" s="2" t="str">
        <f>PROPER(TRIM(Raw_Data!E58))</f>
        <v>Electronics</v>
      </c>
      <c r="G58" s="2" t="str">
        <f>PROPER(TRIM(Raw_Data!F58))</f>
        <v>Monitors</v>
      </c>
      <c r="H58" s="2" t="str">
        <f>Raw_Data!G58</f>
        <v>WideView 27</v>
      </c>
      <c r="I58" s="2">
        <f>Raw_Data!H58</f>
        <v>6</v>
      </c>
      <c r="J58" s="4">
        <f>Raw_Data!I58</f>
        <v>14083.85</v>
      </c>
      <c r="K58" s="4">
        <f>Raw_Data!J58</f>
        <v>8450.31</v>
      </c>
      <c r="L58" s="5">
        <f>IF(Raw_Data!K58="",0,Raw_Data!K58)</f>
        <v>0</v>
      </c>
      <c r="M58" s="4">
        <f t="shared" si="1"/>
        <v>84503.1</v>
      </c>
      <c r="N58" s="4">
        <f t="shared" si="2"/>
        <v>33801.24</v>
      </c>
      <c r="O58" s="6">
        <f t="shared" si="3"/>
        <v>0.39999999999999997</v>
      </c>
    </row>
    <row r="59" spans="1:15" ht="15" customHeight="1" x14ac:dyDescent="0.3">
      <c r="A59" s="2">
        <f>Raw_Data!A59</f>
        <v>100058</v>
      </c>
      <c r="B59" s="3" t="e">
        <f>DATEVALUE(Raw_Data!B59)</f>
        <v>#VALUE!</v>
      </c>
      <c r="C59" s="2" t="e">
        <f t="shared" si="0"/>
        <v>#VALUE!</v>
      </c>
      <c r="D59" s="2" t="str">
        <f>PROPER(TRIM(Raw_Data!C59))</f>
        <v>Priya Shah</v>
      </c>
      <c r="E59" s="2" t="str">
        <f>PROPER(TRIM(Raw_Data!D59))</f>
        <v>West</v>
      </c>
      <c r="F59" s="2" t="str">
        <f>PROPER(TRIM(Raw_Data!E59))</f>
        <v>Office Supplies</v>
      </c>
      <c r="G59" s="2" t="str">
        <f>PROPER(TRIM(Raw_Data!F59))</f>
        <v>Binders</v>
      </c>
      <c r="H59" s="2" t="str">
        <f>Raw_Data!G59</f>
        <v>ClampBind Pro</v>
      </c>
      <c r="I59" s="2">
        <f>Raw_Data!H59</f>
        <v>11</v>
      </c>
      <c r="J59" s="4">
        <f>Raw_Data!I59</f>
        <v>199.76</v>
      </c>
      <c r="K59" s="4">
        <f>Raw_Data!J59</f>
        <v>95.88</v>
      </c>
      <c r="L59" s="5">
        <f>IF(Raw_Data!K59="",0,Raw_Data!K59)</f>
        <v>0.2</v>
      </c>
      <c r="M59" s="4">
        <f t="shared" si="1"/>
        <v>1757.89</v>
      </c>
      <c r="N59" s="4">
        <f t="shared" si="2"/>
        <v>703.21</v>
      </c>
      <c r="O59" s="6">
        <f t="shared" si="3"/>
        <v>0.40003071864564904</v>
      </c>
    </row>
    <row r="60" spans="1:15" ht="15" customHeight="1" x14ac:dyDescent="0.3">
      <c r="A60" s="2">
        <f>Raw_Data!A60</f>
        <v>100059</v>
      </c>
      <c r="B60" s="3" t="e">
        <f>DATEVALUE(Raw_Data!B60)</f>
        <v>#VALUE!</v>
      </c>
      <c r="C60" s="2" t="e">
        <f t="shared" si="0"/>
        <v>#VALUE!</v>
      </c>
      <c r="D60" s="2" t="str">
        <f>PROPER(TRIM(Raw_Data!C60))</f>
        <v>Vikram Mehta</v>
      </c>
      <c r="E60" s="2" t="str">
        <f>PROPER(TRIM(Raw_Data!D60))</f>
        <v>East</v>
      </c>
      <c r="F60" s="2" t="str">
        <f>PROPER(TRIM(Raw_Data!E60))</f>
        <v>Clothing</v>
      </c>
      <c r="G60" s="2" t="str">
        <f>PROPER(TRIM(Raw_Data!F60))</f>
        <v>Shoes</v>
      </c>
      <c r="H60" s="2" t="str">
        <f>Raw_Data!G60</f>
        <v>WalkEase Casual</v>
      </c>
      <c r="I60" s="2">
        <f>Raw_Data!H60</f>
        <v>7</v>
      </c>
      <c r="J60" s="4">
        <f>Raw_Data!I60</f>
        <v>2015.77</v>
      </c>
      <c r="K60" s="4">
        <f>Raw_Data!J60</f>
        <v>1007.89</v>
      </c>
      <c r="L60" s="5">
        <f>IF(Raw_Data!K60="",0,Raw_Data!K60)</f>
        <v>0</v>
      </c>
      <c r="M60" s="4">
        <f t="shared" si="1"/>
        <v>14110.39</v>
      </c>
      <c r="N60" s="4">
        <f t="shared" si="2"/>
        <v>7055.16</v>
      </c>
      <c r="O60" s="6">
        <f t="shared" si="3"/>
        <v>0.49999751955828298</v>
      </c>
    </row>
    <row r="61" spans="1:15" ht="15" customHeight="1" x14ac:dyDescent="0.3">
      <c r="A61" s="2">
        <f>Raw_Data!A61</f>
        <v>100060</v>
      </c>
      <c r="B61" s="3">
        <f>DATEVALUE(Raw_Data!B61)</f>
        <v>45484</v>
      </c>
      <c r="C61" s="2" t="str">
        <f t="shared" si="0"/>
        <v>Jul-2024</v>
      </c>
      <c r="D61" s="2" t="str">
        <f>PROPER(TRIM(Raw_Data!C61))</f>
        <v>Priya Patel</v>
      </c>
      <c r="E61" s="2" t="str">
        <f>PROPER(TRIM(Raw_Data!D61))</f>
        <v>North</v>
      </c>
      <c r="F61" s="2" t="str">
        <f>PROPER(TRIM(Raw_Data!E61))</f>
        <v>Clothing</v>
      </c>
      <c r="G61" s="2" t="str">
        <f>PROPER(TRIM(Raw_Data!F61))</f>
        <v>Shoes</v>
      </c>
      <c r="H61" s="2" t="str">
        <f>Raw_Data!G61</f>
        <v>WalkEase Casual</v>
      </c>
      <c r="I61" s="2">
        <f>Raw_Data!H61</f>
        <v>10</v>
      </c>
      <c r="J61" s="4">
        <f>Raw_Data!I61</f>
        <v>2003.08</v>
      </c>
      <c r="K61" s="4">
        <f>Raw_Data!J61</f>
        <v>1001.54</v>
      </c>
      <c r="L61" s="5">
        <f>IF(Raw_Data!K61="",0,Raw_Data!K61)</f>
        <v>0</v>
      </c>
      <c r="M61" s="4">
        <f t="shared" si="1"/>
        <v>20030.8</v>
      </c>
      <c r="N61" s="4">
        <f t="shared" si="2"/>
        <v>10015.4</v>
      </c>
      <c r="O61" s="6">
        <f t="shared" si="3"/>
        <v>0.5</v>
      </c>
    </row>
    <row r="62" spans="1:15" ht="15" customHeight="1" x14ac:dyDescent="0.3">
      <c r="A62" s="2">
        <f>Raw_Data!A62</f>
        <v>100061</v>
      </c>
      <c r="B62" s="3" t="e">
        <f>DATEVALUE(Raw_Data!B62)</f>
        <v>#VALUE!</v>
      </c>
      <c r="C62" s="2" t="e">
        <f t="shared" si="0"/>
        <v>#VALUE!</v>
      </c>
      <c r="D62" s="2" t="str">
        <f>PROPER(TRIM(Raw_Data!C62))</f>
        <v>Pooja Pillai</v>
      </c>
      <c r="E62" s="2" t="str">
        <f>PROPER(TRIM(Raw_Data!D62))</f>
        <v>South</v>
      </c>
      <c r="F62" s="2" t="str">
        <f>PROPER(TRIM(Raw_Data!E62))</f>
        <v>Electronics</v>
      </c>
      <c r="G62" s="2" t="str">
        <f>PROPER(TRIM(Raw_Data!F62))</f>
        <v>Monitors</v>
      </c>
      <c r="H62" s="2" t="str">
        <f>Raw_Data!G62</f>
        <v>WideView 27</v>
      </c>
      <c r="I62" s="2">
        <f>Raw_Data!H62</f>
        <v>12</v>
      </c>
      <c r="J62" s="4">
        <f>Raw_Data!I62</f>
        <v>14056.22</v>
      </c>
      <c r="K62" s="4">
        <f>Raw_Data!J62</f>
        <v>8433.73</v>
      </c>
      <c r="L62" s="5">
        <f>IF(Raw_Data!K62="",0,Raw_Data!K62)</f>
        <v>0</v>
      </c>
      <c r="M62" s="4">
        <f t="shared" si="1"/>
        <v>168674.64</v>
      </c>
      <c r="N62" s="4">
        <f t="shared" si="2"/>
        <v>67469.88</v>
      </c>
      <c r="O62" s="6">
        <f t="shared" si="3"/>
        <v>0.40000014228576386</v>
      </c>
    </row>
    <row r="63" spans="1:15" ht="15" customHeight="1" x14ac:dyDescent="0.3">
      <c r="A63" s="2">
        <f>Raw_Data!A63</f>
        <v>100062</v>
      </c>
      <c r="B63" s="3" t="e">
        <f>DATEVALUE(Raw_Data!B63)</f>
        <v>#VALUE!</v>
      </c>
      <c r="C63" s="2" t="e">
        <f t="shared" si="0"/>
        <v>#VALUE!</v>
      </c>
      <c r="D63" s="2" t="str">
        <f>PROPER(TRIM(Raw_Data!C63))</f>
        <v>Yash Shah</v>
      </c>
      <c r="E63" s="2" t="str">
        <f>PROPER(TRIM(Raw_Data!D63))</f>
        <v>East</v>
      </c>
      <c r="F63" s="2" t="str">
        <f>PROPER(TRIM(Raw_Data!E63))</f>
        <v>Electronics</v>
      </c>
      <c r="G63" s="2" t="str">
        <f>PROPER(TRIM(Raw_Data!F63))</f>
        <v>Keyboards</v>
      </c>
      <c r="H63" s="2" t="str">
        <f>Raw_Data!G63</f>
        <v>ClickType Mech</v>
      </c>
      <c r="I63" s="2">
        <f>Raw_Data!H63</f>
        <v>3</v>
      </c>
      <c r="J63" s="4">
        <f>Raw_Data!I63</f>
        <v>2305.69</v>
      </c>
      <c r="K63" s="4">
        <f>Raw_Data!J63</f>
        <v>1268.1300000000001</v>
      </c>
      <c r="L63" s="5">
        <f>IF(Raw_Data!K63="",0,Raw_Data!K63)</f>
        <v>0</v>
      </c>
      <c r="M63" s="4">
        <f t="shared" si="1"/>
        <v>6917.07</v>
      </c>
      <c r="N63" s="4">
        <f t="shared" si="2"/>
        <v>3112.68</v>
      </c>
      <c r="O63" s="6">
        <f t="shared" si="3"/>
        <v>0.44999978314517564</v>
      </c>
    </row>
    <row r="64" spans="1:15" ht="15" customHeight="1" x14ac:dyDescent="0.3">
      <c r="A64" s="2">
        <f>Raw_Data!A64</f>
        <v>100063</v>
      </c>
      <c r="B64" s="3" t="e">
        <f>DATEVALUE(Raw_Data!B64)</f>
        <v>#VALUE!</v>
      </c>
      <c r="C64" s="2" t="e">
        <f t="shared" si="0"/>
        <v>#VALUE!</v>
      </c>
      <c r="D64" s="2" t="str">
        <f>PROPER(TRIM(Raw_Data!C64))</f>
        <v>Meera Bhatt</v>
      </c>
      <c r="E64" s="2" t="str">
        <f>PROPER(TRIM(Raw_Data!D64))</f>
        <v>East</v>
      </c>
      <c r="F64" s="2" t="str">
        <f>PROPER(TRIM(Raw_Data!E64))</f>
        <v>Clothing</v>
      </c>
      <c r="G64" s="2" t="str">
        <f>PROPER(TRIM(Raw_Data!F64))</f>
        <v>Shoes</v>
      </c>
      <c r="H64" s="2" t="str">
        <f>Raw_Data!G64</f>
        <v>WalkEase Casual</v>
      </c>
      <c r="I64" s="2">
        <f>Raw_Data!H64</f>
        <v>11</v>
      </c>
      <c r="J64" s="4">
        <f>Raw_Data!I64</f>
        <v>1862.75</v>
      </c>
      <c r="K64" s="4">
        <f>Raw_Data!J64</f>
        <v>931.38</v>
      </c>
      <c r="L64" s="5">
        <f>IF(Raw_Data!K64="",0,Raw_Data!K64)</f>
        <v>0</v>
      </c>
      <c r="M64" s="4">
        <f t="shared" si="1"/>
        <v>20490.25</v>
      </c>
      <c r="N64" s="4">
        <f t="shared" si="2"/>
        <v>10245.07</v>
      </c>
      <c r="O64" s="6">
        <f t="shared" si="3"/>
        <v>0.49999731579653739</v>
      </c>
    </row>
    <row r="65" spans="1:15" ht="15" customHeight="1" x14ac:dyDescent="0.3">
      <c r="A65" s="2">
        <f>Raw_Data!A65</f>
        <v>100064</v>
      </c>
      <c r="B65" s="3">
        <f>DATEVALUE(Raw_Data!B65)</f>
        <v>45421</v>
      </c>
      <c r="C65" s="2" t="str">
        <f t="shared" si="0"/>
        <v>May-2024</v>
      </c>
      <c r="D65" s="2" t="str">
        <f>PROPER(TRIM(Raw_Data!C65))</f>
        <v>Kiara Chopra</v>
      </c>
      <c r="E65" s="2" t="str">
        <f>PROPER(TRIM(Raw_Data!D65))</f>
        <v>South</v>
      </c>
      <c r="F65" s="2" t="str">
        <f>PROPER(TRIM(Raw_Data!E65))</f>
        <v>Electronics</v>
      </c>
      <c r="G65" s="2" t="str">
        <f>PROPER(TRIM(Raw_Data!F65))</f>
        <v>Laptops</v>
      </c>
      <c r="H65" s="2" t="str">
        <f>Raw_Data!G65</f>
        <v>UltraSlim X1</v>
      </c>
      <c r="I65" s="2">
        <f>Raw_Data!H65</f>
        <v>8</v>
      </c>
      <c r="J65" s="4">
        <f>Raw_Data!I65</f>
        <v>59835.93</v>
      </c>
      <c r="K65" s="4">
        <f>Raw_Data!J65</f>
        <v>35901.56</v>
      </c>
      <c r="L65" s="5">
        <f>IF(Raw_Data!K65="",0,Raw_Data!K65)</f>
        <v>0</v>
      </c>
      <c r="M65" s="4">
        <f t="shared" si="1"/>
        <v>478687.44</v>
      </c>
      <c r="N65" s="4">
        <f t="shared" si="2"/>
        <v>191474.96</v>
      </c>
      <c r="O65" s="6">
        <f t="shared" si="3"/>
        <v>0.39999996657526671</v>
      </c>
    </row>
    <row r="66" spans="1:15" ht="15" customHeight="1" x14ac:dyDescent="0.3">
      <c r="A66" s="2">
        <f>Raw_Data!A66</f>
        <v>100065</v>
      </c>
      <c r="B66" s="3" t="e">
        <f>DATEVALUE(Raw_Data!B66)</f>
        <v>#VALUE!</v>
      </c>
      <c r="C66" s="2" t="e">
        <f t="shared" ref="C66:C129" si="4">TEXT(B66,"mmm-yyyy")</f>
        <v>#VALUE!</v>
      </c>
      <c r="D66" s="2" t="str">
        <f>PROPER(TRIM(Raw_Data!C66))</f>
        <v>Sai Bose</v>
      </c>
      <c r="E66" s="2" t="str">
        <f>PROPER(TRIM(Raw_Data!D66))</f>
        <v>West</v>
      </c>
      <c r="F66" s="2" t="str">
        <f>PROPER(TRIM(Raw_Data!E66))</f>
        <v>Electronics</v>
      </c>
      <c r="G66" s="2" t="str">
        <f>PROPER(TRIM(Raw_Data!F66))</f>
        <v>Keyboards</v>
      </c>
      <c r="H66" s="2" t="str">
        <f>Raw_Data!G66</f>
        <v>GamerEdge RGB</v>
      </c>
      <c r="I66" s="2">
        <f>Raw_Data!H66</f>
        <v>7</v>
      </c>
      <c r="J66" s="4">
        <f>Raw_Data!I66</f>
        <v>3323.44</v>
      </c>
      <c r="K66" s="4">
        <f>Raw_Data!J66</f>
        <v>1661.72</v>
      </c>
      <c r="L66" s="5">
        <f>IF(Raw_Data!K66="",0,Raw_Data!K66)</f>
        <v>0.05</v>
      </c>
      <c r="M66" s="4">
        <f t="shared" ref="M66:M129" si="5">ROUND(I66*J66*(1-L66),2)</f>
        <v>22100.880000000001</v>
      </c>
      <c r="N66" s="4">
        <f t="shared" ref="N66:N129" si="6">ROUND(M66-(I66*K66),2)</f>
        <v>10468.84</v>
      </c>
      <c r="O66" s="6">
        <f t="shared" ref="O66:O129" si="7">IFERROR(N66/M66,0)</f>
        <v>0.47368430578329912</v>
      </c>
    </row>
    <row r="67" spans="1:15" ht="15" customHeight="1" x14ac:dyDescent="0.3">
      <c r="A67" s="2">
        <f>Raw_Data!A67</f>
        <v>100066</v>
      </c>
      <c r="B67" s="3">
        <f>DATEVALUE(Raw_Data!B67)</f>
        <v>45507</v>
      </c>
      <c r="C67" s="2" t="str">
        <f t="shared" si="4"/>
        <v>Aug-2024</v>
      </c>
      <c r="D67" s="2" t="str">
        <f>PROPER(TRIM(Raw_Data!C67))</f>
        <v>Manoj Bhatt</v>
      </c>
      <c r="E67" s="2" t="str">
        <f>PROPER(TRIM(Raw_Data!D67))</f>
        <v>East</v>
      </c>
      <c r="F67" s="2" t="str">
        <f>PROPER(TRIM(Raw_Data!E67))</f>
        <v>Electronics</v>
      </c>
      <c r="G67" s="2" t="str">
        <f>PROPER(TRIM(Raw_Data!F67))</f>
        <v>Keyboards</v>
      </c>
      <c r="H67" s="2" t="str">
        <f>Raw_Data!G67</f>
        <v>SilentBoard</v>
      </c>
      <c r="I67" s="2">
        <f>Raw_Data!H67</f>
        <v>4</v>
      </c>
      <c r="J67" s="4">
        <f>Raw_Data!I67</f>
        <v>1022.07</v>
      </c>
      <c r="K67" s="4">
        <f>Raw_Data!J67</f>
        <v>613.24</v>
      </c>
      <c r="L67" s="5">
        <f>IF(Raw_Data!K67="",0,Raw_Data!K67)</f>
        <v>0.2</v>
      </c>
      <c r="M67" s="4">
        <f t="shared" si="5"/>
        <v>3270.62</v>
      </c>
      <c r="N67" s="4">
        <f t="shared" si="6"/>
        <v>817.66</v>
      </c>
      <c r="O67" s="6">
        <f t="shared" si="7"/>
        <v>0.25000152876213072</v>
      </c>
    </row>
    <row r="68" spans="1:15" ht="15" customHeight="1" x14ac:dyDescent="0.3">
      <c r="A68" s="2">
        <f>Raw_Data!A68</f>
        <v>100067</v>
      </c>
      <c r="B68" s="3">
        <f>DATEVALUE(Raw_Data!B68)</f>
        <v>45300</v>
      </c>
      <c r="C68" s="2" t="str">
        <f t="shared" si="4"/>
        <v>Jan-2024</v>
      </c>
      <c r="D68" s="2" t="str">
        <f>PROPER(TRIM(Raw_Data!C68))</f>
        <v>Kabir Shah</v>
      </c>
      <c r="E68" s="2" t="str">
        <f>PROPER(TRIM(Raw_Data!D68))</f>
        <v>South</v>
      </c>
      <c r="F68" s="2" t="str">
        <f>PROPER(TRIM(Raw_Data!E68))</f>
        <v>Furniture</v>
      </c>
      <c r="G68" s="2" t="str">
        <f>PROPER(TRIM(Raw_Data!F68))</f>
        <v>Desks</v>
      </c>
      <c r="H68" s="2" t="str">
        <f>Raw_Data!G68</f>
        <v>CornerFit Desk</v>
      </c>
      <c r="I68" s="2">
        <f>Raw_Data!H68</f>
        <v>3</v>
      </c>
      <c r="J68" s="4">
        <f>Raw_Data!I68</f>
        <v>10314.73</v>
      </c>
      <c r="K68" s="4">
        <f>Raw_Data!J68</f>
        <v>5982.54</v>
      </c>
      <c r="L68" s="5">
        <f>IF(Raw_Data!K68="",0,Raw_Data!K68)</f>
        <v>0.1</v>
      </c>
      <c r="M68" s="4">
        <f t="shared" si="5"/>
        <v>27849.77</v>
      </c>
      <c r="N68" s="4">
        <f t="shared" si="6"/>
        <v>9902.15</v>
      </c>
      <c r="O68" s="6">
        <f t="shared" si="7"/>
        <v>0.35555589866630855</v>
      </c>
    </row>
    <row r="69" spans="1:15" ht="15" customHeight="1" x14ac:dyDescent="0.3">
      <c r="A69" s="2">
        <f>Raw_Data!A69</f>
        <v>100068</v>
      </c>
      <c r="B69" s="3">
        <f>DATEVALUE(Raw_Data!B69)</f>
        <v>45490</v>
      </c>
      <c r="C69" s="2" t="str">
        <f t="shared" si="4"/>
        <v>Jul-2024</v>
      </c>
      <c r="D69" s="2" t="str">
        <f>PROPER(TRIM(Raw_Data!C69))</f>
        <v>Tanvi Gupta</v>
      </c>
      <c r="E69" s="2" t="str">
        <f>PROPER(TRIM(Raw_Data!D69))</f>
        <v>South</v>
      </c>
      <c r="F69" s="2" t="str">
        <f>PROPER(TRIM(Raw_Data!E69))</f>
        <v>Office Supplies</v>
      </c>
      <c r="G69" s="2" t="str">
        <f>PROPER(TRIM(Raw_Data!F69))</f>
        <v>Paper</v>
      </c>
      <c r="H69" s="2" t="str">
        <f>Raw_Data!G69</f>
        <v>PrintPro A4 Ream</v>
      </c>
      <c r="I69" s="2">
        <f>Raw_Data!H69</f>
        <v>5</v>
      </c>
      <c r="J69" s="4">
        <f>Raw_Data!I69</f>
        <v>267.91000000000003</v>
      </c>
      <c r="K69" s="4">
        <f>Raw_Data!J69</f>
        <v>133.94999999999999</v>
      </c>
      <c r="L69" s="5">
        <f>IF(Raw_Data!K69="",0,Raw_Data!K69)</f>
        <v>0.15</v>
      </c>
      <c r="M69" s="4">
        <f t="shared" si="5"/>
        <v>1138.6199999999999</v>
      </c>
      <c r="N69" s="4">
        <f t="shared" si="6"/>
        <v>468.87</v>
      </c>
      <c r="O69" s="6">
        <f t="shared" si="7"/>
        <v>0.41178795383885763</v>
      </c>
    </row>
    <row r="70" spans="1:15" ht="15" customHeight="1" x14ac:dyDescent="0.3">
      <c r="A70" s="2">
        <f>Raw_Data!A70</f>
        <v>100069</v>
      </c>
      <c r="B70" s="3">
        <f>DATEVALUE(Raw_Data!B70)</f>
        <v>45487</v>
      </c>
      <c r="C70" s="2" t="str">
        <f t="shared" si="4"/>
        <v>Jul-2024</v>
      </c>
      <c r="D70" s="2" t="str">
        <f>PROPER(TRIM(Raw_Data!C70))</f>
        <v>Neha Bose</v>
      </c>
      <c r="E70" s="2" t="str">
        <f>PROPER(TRIM(Raw_Data!D70))</f>
        <v>North</v>
      </c>
      <c r="F70" s="2" t="str">
        <f>PROPER(TRIM(Raw_Data!E70))</f>
        <v>Office Supplies</v>
      </c>
      <c r="G70" s="2" t="str">
        <f>PROPER(TRIM(Raw_Data!F70))</f>
        <v>Binders</v>
      </c>
      <c r="H70" s="2" t="str">
        <f>Raw_Data!G70</f>
        <v>RingFile A4</v>
      </c>
      <c r="I70" s="2">
        <f>Raw_Data!H70</f>
        <v>1</v>
      </c>
      <c r="J70" s="4">
        <f>Raw_Data!I70</f>
        <v>194.37</v>
      </c>
      <c r="K70" s="4">
        <f>Raw_Data!J70</f>
        <v>93.3</v>
      </c>
      <c r="L70" s="5">
        <f>IF(Raw_Data!K70="",0,Raw_Data!K70)</f>
        <v>0.2</v>
      </c>
      <c r="M70" s="4">
        <f t="shared" si="5"/>
        <v>155.5</v>
      </c>
      <c r="N70" s="4">
        <f t="shared" si="6"/>
        <v>62.2</v>
      </c>
      <c r="O70" s="6">
        <f t="shared" si="7"/>
        <v>0.4</v>
      </c>
    </row>
    <row r="71" spans="1:15" ht="15" customHeight="1" x14ac:dyDescent="0.3">
      <c r="A71" s="2">
        <f>Raw_Data!A71</f>
        <v>100070</v>
      </c>
      <c r="B71" s="3">
        <f>DATEVALUE(Raw_Data!B71)</f>
        <v>45630</v>
      </c>
      <c r="C71" s="2" t="str">
        <f t="shared" si="4"/>
        <v>Dec-2024</v>
      </c>
      <c r="D71" s="2" t="str">
        <f>PROPER(TRIM(Raw_Data!C71))</f>
        <v>Aadhya Bose</v>
      </c>
      <c r="E71" s="2" t="str">
        <f>PROPER(TRIM(Raw_Data!D71))</f>
        <v>East</v>
      </c>
      <c r="F71" s="2" t="str">
        <f>PROPER(TRIM(Raw_Data!E71))</f>
        <v>Clothing</v>
      </c>
      <c r="G71" s="2" t="str">
        <f>PROPER(TRIM(Raw_Data!F71))</f>
        <v>Shoes</v>
      </c>
      <c r="H71" s="2" t="str">
        <f>Raw_Data!G71</f>
        <v>RunFast Sport</v>
      </c>
      <c r="I71" s="2">
        <f>Raw_Data!H71</f>
        <v>9</v>
      </c>
      <c r="J71" s="4">
        <f>Raw_Data!I71</f>
        <v>2674.63</v>
      </c>
      <c r="K71" s="4">
        <f>Raw_Data!J71</f>
        <v>1283.82</v>
      </c>
      <c r="L71" s="5">
        <f>IF(Raw_Data!K71="",0,Raw_Data!K71)</f>
        <v>0</v>
      </c>
      <c r="M71" s="4">
        <f t="shared" si="5"/>
        <v>24071.67</v>
      </c>
      <c r="N71" s="4">
        <f t="shared" si="6"/>
        <v>12517.29</v>
      </c>
      <c r="O71" s="6">
        <f t="shared" si="7"/>
        <v>0.52000089732037713</v>
      </c>
    </row>
    <row r="72" spans="1:15" ht="15" customHeight="1" x14ac:dyDescent="0.3">
      <c r="A72" s="2">
        <f>Raw_Data!A72</f>
        <v>100071</v>
      </c>
      <c r="B72" s="3">
        <f>DATEVALUE(Raw_Data!B72)</f>
        <v>45349</v>
      </c>
      <c r="C72" s="2" t="str">
        <f t="shared" si="4"/>
        <v>Feb-2024</v>
      </c>
      <c r="D72" s="2" t="str">
        <f>PROPER(TRIM(Raw_Data!C72))</f>
        <v>Aditya Rao</v>
      </c>
      <c r="E72" s="2" t="str">
        <f>PROPER(TRIM(Raw_Data!D72))</f>
        <v>East</v>
      </c>
      <c r="F72" s="2" t="str">
        <f>PROPER(TRIM(Raw_Data!E72))</f>
        <v>Office Supplies</v>
      </c>
      <c r="G72" s="2" t="str">
        <f>PROPER(TRIM(Raw_Data!F72))</f>
        <v>Staplers</v>
      </c>
      <c r="H72" s="2" t="str">
        <f>Raw_Data!G72</f>
        <v>ClickFix Standard</v>
      </c>
      <c r="I72" s="2">
        <f>Raw_Data!H72</f>
        <v>11</v>
      </c>
      <c r="J72" s="4">
        <f>Raw_Data!I72</f>
        <v>235.4</v>
      </c>
      <c r="K72" s="4">
        <f>Raw_Data!J72</f>
        <v>117.7</v>
      </c>
      <c r="L72" s="5">
        <f>IF(Raw_Data!K72="",0,Raw_Data!K72)</f>
        <v>0</v>
      </c>
      <c r="M72" s="4">
        <f t="shared" si="5"/>
        <v>2589.4</v>
      </c>
      <c r="N72" s="4">
        <f t="shared" si="6"/>
        <v>1294.7</v>
      </c>
      <c r="O72" s="6">
        <f t="shared" si="7"/>
        <v>0.5</v>
      </c>
    </row>
    <row r="73" spans="1:15" ht="15" customHeight="1" x14ac:dyDescent="0.3">
      <c r="A73" s="2">
        <f>Raw_Data!A73</f>
        <v>100072</v>
      </c>
      <c r="B73" s="3">
        <f>DATEVALUE(Raw_Data!B73)</f>
        <v>45334</v>
      </c>
      <c r="C73" s="2" t="str">
        <f t="shared" si="4"/>
        <v>Feb-2024</v>
      </c>
      <c r="D73" s="2" t="str">
        <f>PROPER(TRIM(Raw_Data!C73))</f>
        <v>Sneha Mehta</v>
      </c>
      <c r="E73" s="2" t="str">
        <f>PROPER(TRIM(Raw_Data!D73))</f>
        <v>East</v>
      </c>
      <c r="F73" s="2" t="str">
        <f>PROPER(TRIM(Raw_Data!E73))</f>
        <v>Electronics</v>
      </c>
      <c r="G73" s="2" t="str">
        <f>PROPER(TRIM(Raw_Data!F73))</f>
        <v>Keyboards</v>
      </c>
      <c r="H73" s="2" t="str">
        <f>Raw_Data!G73</f>
        <v>SilentBoard</v>
      </c>
      <c r="I73" s="2">
        <f>Raw_Data!H73</f>
        <v>11</v>
      </c>
      <c r="J73" s="4">
        <f>Raw_Data!I73</f>
        <v>1018.73</v>
      </c>
      <c r="K73" s="4">
        <f>Raw_Data!J73</f>
        <v>611.24</v>
      </c>
      <c r="L73" s="5">
        <f>IF(Raw_Data!K73="",0,Raw_Data!K73)</f>
        <v>0.1</v>
      </c>
      <c r="M73" s="4">
        <f t="shared" si="5"/>
        <v>10085.43</v>
      </c>
      <c r="N73" s="4">
        <f t="shared" si="6"/>
        <v>3361.79</v>
      </c>
      <c r="O73" s="6">
        <f t="shared" si="7"/>
        <v>0.33333135027460403</v>
      </c>
    </row>
    <row r="74" spans="1:15" ht="15" customHeight="1" x14ac:dyDescent="0.3">
      <c r="A74" s="2">
        <f>Raw_Data!A74</f>
        <v>100073</v>
      </c>
      <c r="B74" s="3">
        <f>DATEVALUE(Raw_Data!B74)</f>
        <v>45560</v>
      </c>
      <c r="C74" s="2" t="str">
        <f t="shared" si="4"/>
        <v>Sep-2024</v>
      </c>
      <c r="D74" s="2" t="str">
        <f>PROPER(TRIM(Raw_Data!C74))</f>
        <v>Sneha Joshi</v>
      </c>
      <c r="E74" s="2" t="str">
        <f>PROPER(TRIM(Raw_Data!D74))</f>
        <v>East</v>
      </c>
      <c r="F74" s="2" t="str">
        <f>PROPER(TRIM(Raw_Data!E74))</f>
        <v>Electronics</v>
      </c>
      <c r="G74" s="2" t="str">
        <f>PROPER(TRIM(Raw_Data!F74))</f>
        <v>Monitors</v>
      </c>
      <c r="H74" s="2" t="str">
        <f>Raw_Data!G74</f>
        <v>CurveTech 32</v>
      </c>
      <c r="I74" s="2">
        <f>Raw_Data!H74</f>
        <v>4</v>
      </c>
      <c r="J74" s="4">
        <f>Raw_Data!I74</f>
        <v>22153.71</v>
      </c>
      <c r="K74" s="4">
        <f>Raw_Data!J74</f>
        <v>12849.15</v>
      </c>
      <c r="L74" s="5">
        <f>IF(Raw_Data!K74="",0,Raw_Data!K74)</f>
        <v>0</v>
      </c>
      <c r="M74" s="4">
        <f t="shared" si="5"/>
        <v>88614.84</v>
      </c>
      <c r="N74" s="4">
        <f t="shared" si="6"/>
        <v>37218.239999999998</v>
      </c>
      <c r="O74" s="6">
        <f t="shared" si="7"/>
        <v>0.42000008125049937</v>
      </c>
    </row>
    <row r="75" spans="1:15" ht="15" customHeight="1" x14ac:dyDescent="0.3">
      <c r="A75" s="2">
        <f>Raw_Data!A75</f>
        <v>100074</v>
      </c>
      <c r="B75" s="3">
        <f>DATEVALUE(Raw_Data!B75)</f>
        <v>45346</v>
      </c>
      <c r="C75" s="2" t="str">
        <f t="shared" si="4"/>
        <v>Feb-2024</v>
      </c>
      <c r="D75" s="2" t="str">
        <f>PROPER(TRIM(Raw_Data!C75))</f>
        <v>Myra Rao</v>
      </c>
      <c r="E75" s="2" t="str">
        <f>PROPER(TRIM(Raw_Data!D75))</f>
        <v>South</v>
      </c>
      <c r="F75" s="2" t="str">
        <f>PROPER(TRIM(Raw_Data!E75))</f>
        <v>Clothing</v>
      </c>
      <c r="G75" s="2" t="str">
        <f>PROPER(TRIM(Raw_Data!F75))</f>
        <v>T-Shirts</v>
      </c>
      <c r="H75" s="2" t="str">
        <f>Raw_Data!G75</f>
        <v>CottonBasic</v>
      </c>
      <c r="I75" s="2">
        <f>Raw_Data!H75</f>
        <v>12</v>
      </c>
      <c r="J75" s="4">
        <f>Raw_Data!I75</f>
        <v>464.54</v>
      </c>
      <c r="K75" s="4">
        <f>Raw_Data!J75</f>
        <v>209.04</v>
      </c>
      <c r="L75" s="5">
        <f>IF(Raw_Data!K75="",0,Raw_Data!K75)</f>
        <v>0</v>
      </c>
      <c r="M75" s="4">
        <f t="shared" si="5"/>
        <v>5574.48</v>
      </c>
      <c r="N75" s="4">
        <f t="shared" si="6"/>
        <v>3066</v>
      </c>
      <c r="O75" s="6">
        <f t="shared" si="7"/>
        <v>0.55000645800146386</v>
      </c>
    </row>
    <row r="76" spans="1:15" ht="15" customHeight="1" x14ac:dyDescent="0.3">
      <c r="A76" s="2">
        <f>Raw_Data!A76</f>
        <v>100075</v>
      </c>
      <c r="B76" s="3" t="e">
        <f>DATEVALUE(Raw_Data!B76)</f>
        <v>#VALUE!</v>
      </c>
      <c r="C76" s="2" t="e">
        <f t="shared" si="4"/>
        <v>#VALUE!</v>
      </c>
      <c r="D76" s="2" t="str">
        <f>PROPER(TRIM(Raw_Data!C76))</f>
        <v>Neha Bhatt</v>
      </c>
      <c r="E76" s="2" t="str">
        <f>PROPER(TRIM(Raw_Data!D76))</f>
        <v>North</v>
      </c>
      <c r="F76" s="2" t="str">
        <f>PROPER(TRIM(Raw_Data!E76))</f>
        <v>Furniture</v>
      </c>
      <c r="G76" s="2" t="str">
        <f>PROPER(TRIM(Raw_Data!F76))</f>
        <v>Desks</v>
      </c>
      <c r="H76" s="2" t="str">
        <f>Raw_Data!G76</f>
        <v>CompactWork</v>
      </c>
      <c r="I76" s="2">
        <f>Raw_Data!H76</f>
        <v>1</v>
      </c>
      <c r="J76" s="4">
        <f>Raw_Data!I76</f>
        <v>4254.2299999999996</v>
      </c>
      <c r="K76" s="4">
        <f>Raw_Data!J76</f>
        <v>2765.25</v>
      </c>
      <c r="L76" s="5">
        <f>IF(Raw_Data!K76="",0,Raw_Data!K76)</f>
        <v>0.05</v>
      </c>
      <c r="M76" s="4">
        <f t="shared" si="5"/>
        <v>4041.52</v>
      </c>
      <c r="N76" s="4">
        <f t="shared" si="6"/>
        <v>1276.27</v>
      </c>
      <c r="O76" s="6">
        <f t="shared" si="7"/>
        <v>0.31578960391139965</v>
      </c>
    </row>
    <row r="77" spans="1:15" ht="15" customHeight="1" x14ac:dyDescent="0.3">
      <c r="A77" s="2">
        <f>Raw_Data!A77</f>
        <v>100076</v>
      </c>
      <c r="B77" s="3">
        <f>DATEVALUE(Raw_Data!B77)</f>
        <v>45474</v>
      </c>
      <c r="C77" s="2" t="str">
        <f t="shared" si="4"/>
        <v>Jul-2024</v>
      </c>
      <c r="D77" s="2" t="str">
        <f>PROPER(TRIM(Raw_Data!C77))</f>
        <v>Sai Patel</v>
      </c>
      <c r="E77" s="2" t="str">
        <f>PROPER(TRIM(Raw_Data!D77))</f>
        <v>West</v>
      </c>
      <c r="F77" s="2" t="str">
        <f>PROPER(TRIM(Raw_Data!E77))</f>
        <v>Office Supplies</v>
      </c>
      <c r="G77" s="2" t="str">
        <f>PROPER(TRIM(Raw_Data!F77))</f>
        <v>Paper</v>
      </c>
      <c r="H77" s="2" t="str">
        <f>Raw_Data!G77</f>
        <v>PrintPro A4 Ream</v>
      </c>
      <c r="I77" s="2">
        <f>Raw_Data!H77</f>
        <v>7</v>
      </c>
      <c r="J77" s="4">
        <f>Raw_Data!I77</f>
        <v>301.83</v>
      </c>
      <c r="K77" s="4">
        <f>Raw_Data!J77</f>
        <v>150.91999999999999</v>
      </c>
      <c r="L77" s="5">
        <f>IF(Raw_Data!K77="",0,Raw_Data!K77)</f>
        <v>0</v>
      </c>
      <c r="M77" s="4">
        <f t="shared" si="5"/>
        <v>2112.81</v>
      </c>
      <c r="N77" s="4">
        <f t="shared" si="6"/>
        <v>1056.3699999999999</v>
      </c>
      <c r="O77" s="6">
        <f t="shared" si="7"/>
        <v>0.49998343438359338</v>
      </c>
    </row>
    <row r="78" spans="1:15" ht="15" customHeight="1" x14ac:dyDescent="0.3">
      <c r="A78" s="2">
        <f>Raw_Data!A78</f>
        <v>100077</v>
      </c>
      <c r="B78" s="3">
        <f>DATEVALUE(Raw_Data!B78)</f>
        <v>45534</v>
      </c>
      <c r="C78" s="2" t="str">
        <f t="shared" si="4"/>
        <v>Aug-2024</v>
      </c>
      <c r="D78" s="2" t="str">
        <f>PROPER(TRIM(Raw_Data!C78))</f>
        <v>Yash Kapoor</v>
      </c>
      <c r="E78" s="2" t="str">
        <f>PROPER(TRIM(Raw_Data!D78))</f>
        <v>South</v>
      </c>
      <c r="F78" s="2" t="str">
        <f>PROPER(TRIM(Raw_Data!E78))</f>
        <v>Office Supplies</v>
      </c>
      <c r="G78" s="2" t="str">
        <f>PROPER(TRIM(Raw_Data!F78))</f>
        <v>Paper</v>
      </c>
      <c r="H78" s="2" t="str">
        <f>Raw_Data!G78</f>
        <v>CopyMax A4 Ream</v>
      </c>
      <c r="I78" s="2">
        <f>Raw_Data!H78</f>
        <v>12</v>
      </c>
      <c r="J78" s="4">
        <f>Raw_Data!I78</f>
        <v>238.87</v>
      </c>
      <c r="K78" s="4">
        <f>Raw_Data!J78</f>
        <v>119.44</v>
      </c>
      <c r="L78" s="5">
        <f>IF(Raw_Data!K78="",0,Raw_Data!K78)</f>
        <v>0</v>
      </c>
      <c r="M78" s="4">
        <f t="shared" si="5"/>
        <v>2866.44</v>
      </c>
      <c r="N78" s="4">
        <f t="shared" si="6"/>
        <v>1433.16</v>
      </c>
      <c r="O78" s="6">
        <f t="shared" si="7"/>
        <v>0.49997906811236237</v>
      </c>
    </row>
    <row r="79" spans="1:15" ht="15" customHeight="1" x14ac:dyDescent="0.3">
      <c r="A79" s="2">
        <f>Raw_Data!A79</f>
        <v>100078</v>
      </c>
      <c r="B79" s="3" t="e">
        <f>DATEVALUE(Raw_Data!B79)</f>
        <v>#VALUE!</v>
      </c>
      <c r="C79" s="2" t="e">
        <f t="shared" si="4"/>
        <v>#VALUE!</v>
      </c>
      <c r="D79" s="2" t="str">
        <f>PROPER(TRIM(Raw_Data!C79))</f>
        <v>Pooja Gupta</v>
      </c>
      <c r="E79" s="2" t="str">
        <f>PROPER(TRIM(Raw_Data!D79))</f>
        <v>East</v>
      </c>
      <c r="F79" s="2" t="str">
        <f>PROPER(TRIM(Raw_Data!E79))</f>
        <v>Furniture</v>
      </c>
      <c r="G79" s="2" t="str">
        <f>PROPER(TRIM(Raw_Data!F79))</f>
        <v>Cabinets</v>
      </c>
      <c r="H79" s="2" t="str">
        <f>Raw_Data!G79</f>
        <v>StorageMax Wood</v>
      </c>
      <c r="I79" s="2">
        <f>Raw_Data!H79</f>
        <v>2</v>
      </c>
      <c r="J79" s="4">
        <f>Raw_Data!I79</f>
        <v>4731.83</v>
      </c>
      <c r="K79" s="4">
        <f>Raw_Data!J79</f>
        <v>2981.05</v>
      </c>
      <c r="L79" s="5">
        <f>IF(Raw_Data!K79="",0,Raw_Data!K79)</f>
        <v>0</v>
      </c>
      <c r="M79" s="4">
        <f t="shared" si="5"/>
        <v>9463.66</v>
      </c>
      <c r="N79" s="4">
        <f t="shared" si="6"/>
        <v>3501.56</v>
      </c>
      <c r="O79" s="6">
        <f t="shared" si="7"/>
        <v>0.37000061287070751</v>
      </c>
    </row>
    <row r="80" spans="1:15" ht="15" customHeight="1" x14ac:dyDescent="0.3">
      <c r="A80" s="2">
        <f>Raw_Data!A80</f>
        <v>100079</v>
      </c>
      <c r="B80" s="3">
        <f>DATEVALUE(Raw_Data!B80)</f>
        <v>45359</v>
      </c>
      <c r="C80" s="2" t="str">
        <f t="shared" si="4"/>
        <v>Mar-2024</v>
      </c>
      <c r="D80" s="2" t="str">
        <f>PROPER(TRIM(Raw_Data!C80))</f>
        <v>Kabir Joshi</v>
      </c>
      <c r="E80" s="2" t="str">
        <f>PROPER(TRIM(Raw_Data!D80))</f>
        <v>North</v>
      </c>
      <c r="F80" s="2" t="str">
        <f>PROPER(TRIM(Raw_Data!E80))</f>
        <v>Furniture</v>
      </c>
      <c r="G80" s="2" t="str">
        <f>PROPER(TRIM(Raw_Data!F80))</f>
        <v>Bookshelves</v>
      </c>
      <c r="H80" s="2" t="str">
        <f>Raw_Data!G80</f>
        <v>MetalFrame Open</v>
      </c>
      <c r="I80" s="2">
        <f>Raw_Data!H80</f>
        <v>12</v>
      </c>
      <c r="J80" s="4">
        <f>Raw_Data!I80</f>
        <v>3116.25</v>
      </c>
      <c r="K80" s="4">
        <f>Raw_Data!J80</f>
        <v>1932.08</v>
      </c>
      <c r="L80" s="5">
        <f>IF(Raw_Data!K80="",0,Raw_Data!K80)</f>
        <v>0.15</v>
      </c>
      <c r="M80" s="4">
        <f t="shared" si="5"/>
        <v>31785.75</v>
      </c>
      <c r="N80" s="4">
        <f t="shared" si="6"/>
        <v>8600.7900000000009</v>
      </c>
      <c r="O80" s="6">
        <f t="shared" si="7"/>
        <v>0.27058634765578921</v>
      </c>
    </row>
    <row r="81" spans="1:15" ht="15" customHeight="1" x14ac:dyDescent="0.3">
      <c r="A81" s="2">
        <f>Raw_Data!A81</f>
        <v>100080</v>
      </c>
      <c r="B81" s="3" t="e">
        <f>DATEVALUE(Raw_Data!B81)</f>
        <v>#VALUE!</v>
      </c>
      <c r="C81" s="2" t="e">
        <f t="shared" si="4"/>
        <v>#VALUE!</v>
      </c>
      <c r="D81" s="2" t="str">
        <f>PROPER(TRIM(Raw_Data!C81))</f>
        <v>Manoj Mehta</v>
      </c>
      <c r="E81" s="2" t="str">
        <f>PROPER(TRIM(Raw_Data!D81))</f>
        <v>West</v>
      </c>
      <c r="F81" s="2" t="str">
        <f>PROPER(TRIM(Raw_Data!E81))</f>
        <v>Clothing</v>
      </c>
      <c r="G81" s="2" t="str">
        <f>PROPER(TRIM(Raw_Data!F81))</f>
        <v>Bags</v>
      </c>
      <c r="H81" s="2" t="str">
        <f>Raw_Data!G81</f>
        <v>TravelMax Duffel</v>
      </c>
      <c r="I81" s="2">
        <f>Raw_Data!H81</f>
        <v>11</v>
      </c>
      <c r="J81" s="4">
        <f>Raw_Data!I81</f>
        <v>1783.98</v>
      </c>
      <c r="K81" s="4">
        <f>Raw_Data!J81</f>
        <v>891.99</v>
      </c>
      <c r="L81" s="5">
        <f>IF(Raw_Data!K81="",0,Raw_Data!K81)</f>
        <v>0.1</v>
      </c>
      <c r="M81" s="4">
        <f t="shared" si="5"/>
        <v>17661.400000000001</v>
      </c>
      <c r="N81" s="4">
        <f t="shared" si="6"/>
        <v>7849.51</v>
      </c>
      <c r="O81" s="6">
        <f t="shared" si="7"/>
        <v>0.44444438153260779</v>
      </c>
    </row>
    <row r="82" spans="1:15" ht="15" customHeight="1" x14ac:dyDescent="0.3">
      <c r="A82" s="2">
        <f>Raw_Data!A82</f>
        <v>100081</v>
      </c>
      <c r="B82" s="3">
        <f>DATEVALUE(Raw_Data!B82)</f>
        <v>45523</v>
      </c>
      <c r="C82" s="2" t="str">
        <f t="shared" si="4"/>
        <v>Aug-2024</v>
      </c>
      <c r="D82" s="2" t="str">
        <f>PROPER(TRIM(Raw_Data!C82))</f>
        <v>Kiara Agarwal</v>
      </c>
      <c r="E82" s="2" t="str">
        <f>PROPER(TRIM(Raw_Data!D82))</f>
        <v>East</v>
      </c>
      <c r="F82" s="2" t="str">
        <f>PROPER(TRIM(Raw_Data!E82))</f>
        <v>Office Supplies</v>
      </c>
      <c r="G82" s="2" t="str">
        <f>PROPER(TRIM(Raw_Data!F82))</f>
        <v>Paper</v>
      </c>
      <c r="H82" s="2" t="str">
        <f>Raw_Data!G82</f>
        <v>PrintPro A4 Ream</v>
      </c>
      <c r="I82" s="2">
        <f>Raw_Data!H82</f>
        <v>10</v>
      </c>
      <c r="J82" s="4">
        <f>Raw_Data!I82</f>
        <v>287.62</v>
      </c>
      <c r="K82" s="4">
        <f>Raw_Data!J82</f>
        <v>143.81</v>
      </c>
      <c r="L82" s="5">
        <f>IF(Raw_Data!K82="",0,Raw_Data!K82)</f>
        <v>0.1</v>
      </c>
      <c r="M82" s="4">
        <f t="shared" si="5"/>
        <v>2588.58</v>
      </c>
      <c r="N82" s="4">
        <f t="shared" si="6"/>
        <v>1150.48</v>
      </c>
      <c r="O82" s="6">
        <f t="shared" si="7"/>
        <v>0.44444444444444448</v>
      </c>
    </row>
    <row r="83" spans="1:15" ht="15" customHeight="1" x14ac:dyDescent="0.3">
      <c r="A83" s="2">
        <f>Raw_Data!A83</f>
        <v>100082</v>
      </c>
      <c r="B83" s="3">
        <f>DATEVALUE(Raw_Data!B83)</f>
        <v>45552</v>
      </c>
      <c r="C83" s="2" t="str">
        <f t="shared" si="4"/>
        <v>Sep-2024</v>
      </c>
      <c r="D83" s="2" t="str">
        <f>PROPER(TRIM(Raw_Data!C83))</f>
        <v>Saanvi Chopra</v>
      </c>
      <c r="E83" s="2" t="str">
        <f>PROPER(TRIM(Raw_Data!D83))</f>
        <v>East</v>
      </c>
      <c r="F83" s="2" t="str">
        <f>PROPER(TRIM(Raw_Data!E83))</f>
        <v>Electronics</v>
      </c>
      <c r="G83" s="2" t="str">
        <f>PROPER(TRIM(Raw_Data!F83))</f>
        <v>Headphones</v>
      </c>
      <c r="H83" s="2" t="str">
        <f>Raw_Data!G83</f>
        <v>SoundMax Pro</v>
      </c>
      <c r="I83" s="2">
        <f>Raw_Data!H83</f>
        <v>4</v>
      </c>
      <c r="J83" s="4">
        <f>Raw_Data!I83</f>
        <v>2604.98</v>
      </c>
      <c r="K83" s="4">
        <f>Raw_Data!J83</f>
        <v>1432.74</v>
      </c>
      <c r="L83" s="5">
        <f>IF(Raw_Data!K83="",0,Raw_Data!K83)</f>
        <v>0.1</v>
      </c>
      <c r="M83" s="4">
        <f t="shared" si="5"/>
        <v>9377.93</v>
      </c>
      <c r="N83" s="4">
        <f t="shared" si="6"/>
        <v>3646.97</v>
      </c>
      <c r="O83" s="6">
        <f t="shared" si="7"/>
        <v>0.38888859268516612</v>
      </c>
    </row>
    <row r="84" spans="1:15" ht="15" customHeight="1" x14ac:dyDescent="0.3">
      <c r="A84" s="2">
        <f>Raw_Data!A84</f>
        <v>100083</v>
      </c>
      <c r="B84" s="3">
        <f>DATEVALUE(Raw_Data!B84)</f>
        <v>45436</v>
      </c>
      <c r="C84" s="2" t="str">
        <f t="shared" si="4"/>
        <v>May-2024</v>
      </c>
      <c r="D84" s="2" t="str">
        <f>PROPER(TRIM(Raw_Data!C84))</f>
        <v>Diya Gupta</v>
      </c>
      <c r="E84" s="2" t="str">
        <f>PROPER(TRIM(Raw_Data!D84))</f>
        <v>East</v>
      </c>
      <c r="F84" s="2" t="str">
        <f>PROPER(TRIM(Raw_Data!E84))</f>
        <v>Electronics</v>
      </c>
      <c r="G84" s="2" t="str">
        <f>PROPER(TRIM(Raw_Data!F84))</f>
        <v>Monitors</v>
      </c>
      <c r="H84" s="2" t="str">
        <f>Raw_Data!G84</f>
        <v>ViewClear 24</v>
      </c>
      <c r="I84" s="2">
        <f>Raw_Data!H84</f>
        <v>9</v>
      </c>
      <c r="J84" s="4">
        <f>Raw_Data!I84</f>
        <v>9862.7999999999993</v>
      </c>
      <c r="K84" s="4">
        <f>Raw_Data!J84</f>
        <v>6114.94</v>
      </c>
      <c r="L84" s="5">
        <f>IF(Raw_Data!K84="",0,Raw_Data!K84)</f>
        <v>0.05</v>
      </c>
      <c r="M84" s="4">
        <f t="shared" si="5"/>
        <v>84326.94</v>
      </c>
      <c r="N84" s="4">
        <f t="shared" si="6"/>
        <v>29292.48</v>
      </c>
      <c r="O84" s="6">
        <f t="shared" si="7"/>
        <v>0.34736799414279707</v>
      </c>
    </row>
    <row r="85" spans="1:15" ht="15" customHeight="1" x14ac:dyDescent="0.3">
      <c r="A85" s="2">
        <f>Raw_Data!A85</f>
        <v>100084</v>
      </c>
      <c r="B85" s="3">
        <f>DATEVALUE(Raw_Data!B85)</f>
        <v>45648</v>
      </c>
      <c r="C85" s="2" t="str">
        <f t="shared" si="4"/>
        <v>Dec-2024</v>
      </c>
      <c r="D85" s="2" t="str">
        <f>PROPER(TRIM(Raw_Data!C85))</f>
        <v>Manoj Rao</v>
      </c>
      <c r="E85" s="2" t="str">
        <f>PROPER(TRIM(Raw_Data!D85))</f>
        <v>North</v>
      </c>
      <c r="F85" s="2" t="str">
        <f>PROPER(TRIM(Raw_Data!E85))</f>
        <v>Office Supplies</v>
      </c>
      <c r="G85" s="2" t="str">
        <f>PROPER(TRIM(Raw_Data!F85))</f>
        <v>Binders</v>
      </c>
      <c r="H85" s="2" t="str">
        <f>Raw_Data!G85</f>
        <v>ClampBind Pro</v>
      </c>
      <c r="I85" s="2">
        <f>Raw_Data!H85</f>
        <v>3</v>
      </c>
      <c r="J85" s="4">
        <f>Raw_Data!I85</f>
        <v>217.79</v>
      </c>
      <c r="K85" s="4">
        <f>Raw_Data!J85</f>
        <v>104.54</v>
      </c>
      <c r="L85" s="5">
        <f>IF(Raw_Data!K85="",0,Raw_Data!K85)</f>
        <v>0.2</v>
      </c>
      <c r="M85" s="4">
        <f t="shared" si="5"/>
        <v>522.70000000000005</v>
      </c>
      <c r="N85" s="4">
        <f t="shared" si="6"/>
        <v>209.08</v>
      </c>
      <c r="O85" s="6">
        <f t="shared" si="7"/>
        <v>0.39999999999999997</v>
      </c>
    </row>
    <row r="86" spans="1:15" ht="15" customHeight="1" x14ac:dyDescent="0.3">
      <c r="A86" s="2">
        <f>Raw_Data!A86</f>
        <v>100085</v>
      </c>
      <c r="B86" s="3">
        <f>DATEVALUE(Raw_Data!B86)</f>
        <v>45339</v>
      </c>
      <c r="C86" s="2" t="str">
        <f t="shared" si="4"/>
        <v>Feb-2024</v>
      </c>
      <c r="D86" s="2" t="str">
        <f>PROPER(TRIM(Raw_Data!C86))</f>
        <v>Priya Kapoor</v>
      </c>
      <c r="E86" s="2" t="str">
        <f>PROPER(TRIM(Raw_Data!D86))</f>
        <v>South</v>
      </c>
      <c r="F86" s="2" t="str">
        <f>PROPER(TRIM(Raw_Data!E86))</f>
        <v>Furniture</v>
      </c>
      <c r="G86" s="2" t="str">
        <f>PROPER(TRIM(Raw_Data!F86))</f>
        <v>Desks</v>
      </c>
      <c r="H86" s="2" t="str">
        <f>Raw_Data!G86</f>
        <v>StudyMax L</v>
      </c>
      <c r="I86" s="2">
        <f>Raw_Data!H86</f>
        <v>2</v>
      </c>
      <c r="J86" s="4">
        <f>Raw_Data!I86</f>
        <v>6128.41</v>
      </c>
      <c r="K86" s="4">
        <f>Raw_Data!J86</f>
        <v>3677.05</v>
      </c>
      <c r="L86" s="5">
        <f>IF(Raw_Data!K86="",0,Raw_Data!K86)</f>
        <v>0.2</v>
      </c>
      <c r="M86" s="4">
        <f t="shared" si="5"/>
        <v>9805.4599999999991</v>
      </c>
      <c r="N86" s="4">
        <f t="shared" si="6"/>
        <v>2451.36</v>
      </c>
      <c r="O86" s="6">
        <f t="shared" si="7"/>
        <v>0.24999949008001668</v>
      </c>
    </row>
    <row r="87" spans="1:15" ht="15" customHeight="1" x14ac:dyDescent="0.3">
      <c r="A87" s="2">
        <f>Raw_Data!A87</f>
        <v>100086</v>
      </c>
      <c r="B87" s="3" t="e">
        <f>DATEVALUE(Raw_Data!B87)</f>
        <v>#VALUE!</v>
      </c>
      <c r="C87" s="2" t="e">
        <f t="shared" si="4"/>
        <v>#VALUE!</v>
      </c>
      <c r="D87" s="2" t="str">
        <f>PROPER(TRIM(Raw_Data!C87))</f>
        <v>Aman Bose</v>
      </c>
      <c r="E87" s="2" t="str">
        <f>PROPER(TRIM(Raw_Data!D87))</f>
        <v>South</v>
      </c>
      <c r="F87" s="2" t="str">
        <f>PROPER(TRIM(Raw_Data!E87))</f>
        <v>Clothing</v>
      </c>
      <c r="G87" s="2" t="str">
        <f>PROPER(TRIM(Raw_Data!F87))</f>
        <v>T-Shirts</v>
      </c>
      <c r="H87" s="2" t="str">
        <f>Raw_Data!G87</f>
        <v>ActiveDry Sport</v>
      </c>
      <c r="I87" s="2">
        <f>Raw_Data!H87</f>
        <v>6</v>
      </c>
      <c r="J87" s="4">
        <f>Raw_Data!I87</f>
        <v>674.65</v>
      </c>
      <c r="K87" s="4">
        <f>Raw_Data!J87</f>
        <v>303.58999999999997</v>
      </c>
      <c r="L87" s="5">
        <f>IF(Raw_Data!K87="",0,Raw_Data!K87)</f>
        <v>0</v>
      </c>
      <c r="M87" s="4">
        <f t="shared" si="5"/>
        <v>4047.9</v>
      </c>
      <c r="N87" s="4">
        <f t="shared" si="6"/>
        <v>2226.36</v>
      </c>
      <c r="O87" s="6">
        <f t="shared" si="7"/>
        <v>0.55000370562513901</v>
      </c>
    </row>
    <row r="88" spans="1:15" ht="15" customHeight="1" x14ac:dyDescent="0.3">
      <c r="A88" s="2">
        <f>Raw_Data!A88</f>
        <v>100087</v>
      </c>
      <c r="B88" s="3">
        <f>DATEVALUE(Raw_Data!B88)</f>
        <v>45408</v>
      </c>
      <c r="C88" s="2" t="str">
        <f t="shared" si="4"/>
        <v>Apr-2024</v>
      </c>
      <c r="D88" s="2" t="str">
        <f>PROPER(TRIM(Raw_Data!C88))</f>
        <v>Yash Joshi</v>
      </c>
      <c r="E88" s="2" t="str">
        <f>PROPER(TRIM(Raw_Data!D88))</f>
        <v>West</v>
      </c>
      <c r="F88" s="2" t="str">
        <f>PROPER(TRIM(Raw_Data!E88))</f>
        <v>Clothing</v>
      </c>
      <c r="G88" s="2" t="str">
        <f>PROPER(TRIM(Raw_Data!F88))</f>
        <v>Shoes</v>
      </c>
      <c r="H88" s="2" t="str">
        <f>Raw_Data!G88</f>
        <v>RunFast Sport</v>
      </c>
      <c r="I88" s="2">
        <f>Raw_Data!H88</f>
        <v>9</v>
      </c>
      <c r="J88" s="4">
        <f>Raw_Data!I88</f>
        <v>2648.28</v>
      </c>
      <c r="K88" s="4">
        <f>Raw_Data!J88</f>
        <v>1271.18</v>
      </c>
      <c r="L88" s="5">
        <f>IF(Raw_Data!K88="",0,Raw_Data!K88)</f>
        <v>0</v>
      </c>
      <c r="M88" s="4">
        <f t="shared" si="5"/>
        <v>23834.52</v>
      </c>
      <c r="N88" s="4">
        <f t="shared" si="6"/>
        <v>12393.9</v>
      </c>
      <c r="O88" s="6">
        <f t="shared" si="7"/>
        <v>0.51999788541997072</v>
      </c>
    </row>
    <row r="89" spans="1:15" ht="15" customHeight="1" x14ac:dyDescent="0.3">
      <c r="A89" s="2">
        <f>Raw_Data!A89</f>
        <v>100088</v>
      </c>
      <c r="B89" s="3" t="e">
        <f>DATEVALUE(Raw_Data!B89)</f>
        <v>#VALUE!</v>
      </c>
      <c r="C89" s="2" t="e">
        <f t="shared" si="4"/>
        <v>#VALUE!</v>
      </c>
      <c r="D89" s="2" t="str">
        <f>PROPER(TRIM(Raw_Data!C89))</f>
        <v>Aditya Nair</v>
      </c>
      <c r="E89" s="2" t="str">
        <f>PROPER(TRIM(Raw_Data!D89))</f>
        <v>North</v>
      </c>
      <c r="F89" s="2" t="str">
        <f>PROPER(TRIM(Raw_Data!E89))</f>
        <v>Office Supplies</v>
      </c>
      <c r="G89" s="2" t="str">
        <f>PROPER(TRIM(Raw_Data!F89))</f>
        <v>Paper</v>
      </c>
      <c r="H89" s="2" t="str">
        <f>Raw_Data!G89</f>
        <v>PrintPro A4 Ream</v>
      </c>
      <c r="I89" s="2">
        <f>Raw_Data!H89</f>
        <v>5</v>
      </c>
      <c r="J89" s="4">
        <f>Raw_Data!I89</f>
        <v>282.36</v>
      </c>
      <c r="K89" s="4">
        <f>Raw_Data!J89</f>
        <v>141.18</v>
      </c>
      <c r="L89" s="5">
        <f>IF(Raw_Data!K89="",0,Raw_Data!K89)</f>
        <v>0.1</v>
      </c>
      <c r="M89" s="4">
        <f t="shared" si="5"/>
        <v>1270.6199999999999</v>
      </c>
      <c r="N89" s="4">
        <f t="shared" si="6"/>
        <v>564.72</v>
      </c>
      <c r="O89" s="6">
        <f t="shared" si="7"/>
        <v>0.44444444444444453</v>
      </c>
    </row>
    <row r="90" spans="1:15" ht="15" customHeight="1" x14ac:dyDescent="0.3">
      <c r="A90" s="2">
        <f>Raw_Data!A90</f>
        <v>100089</v>
      </c>
      <c r="B90" s="3" t="e">
        <f>DATEVALUE(Raw_Data!B90)</f>
        <v>#VALUE!</v>
      </c>
      <c r="C90" s="2" t="e">
        <f t="shared" si="4"/>
        <v>#VALUE!</v>
      </c>
      <c r="D90" s="2" t="str">
        <f>PROPER(TRIM(Raw_Data!C90))</f>
        <v>Nikhil Patel</v>
      </c>
      <c r="E90" s="2" t="str">
        <f>PROPER(TRIM(Raw_Data!D90))</f>
        <v>West</v>
      </c>
      <c r="F90" s="2" t="str">
        <f>PROPER(TRIM(Raw_Data!E90))</f>
        <v>Electronics</v>
      </c>
      <c r="G90" s="2" t="str">
        <f>PROPER(TRIM(Raw_Data!F90))</f>
        <v>Monitors</v>
      </c>
      <c r="H90" s="2" t="str">
        <f>Raw_Data!G90</f>
        <v>ViewClear 24</v>
      </c>
      <c r="I90" s="2">
        <f>Raw_Data!H90</f>
        <v>1</v>
      </c>
      <c r="J90" s="4">
        <f>Raw_Data!I90</f>
        <v>9418.58</v>
      </c>
      <c r="K90" s="4">
        <f>Raw_Data!J90</f>
        <v>5839.52</v>
      </c>
      <c r="L90" s="5">
        <f>IF(Raw_Data!K90="",0,Raw_Data!K90)</f>
        <v>0</v>
      </c>
      <c r="M90" s="4">
        <f t="shared" si="5"/>
        <v>9418.58</v>
      </c>
      <c r="N90" s="4">
        <f t="shared" si="6"/>
        <v>3579.06</v>
      </c>
      <c r="O90" s="6">
        <f t="shared" si="7"/>
        <v>0.37999995753075305</v>
      </c>
    </row>
    <row r="91" spans="1:15" ht="15" customHeight="1" x14ac:dyDescent="0.3">
      <c r="A91" s="2">
        <f>Raw_Data!A91</f>
        <v>100090</v>
      </c>
      <c r="B91" s="3" t="e">
        <f>DATEVALUE(Raw_Data!B91)</f>
        <v>#VALUE!</v>
      </c>
      <c r="C91" s="2" t="e">
        <f t="shared" si="4"/>
        <v>#VALUE!</v>
      </c>
      <c r="D91" s="2" t="str">
        <f>PROPER(TRIM(Raw_Data!C91))</f>
        <v>Ishaan Mehta</v>
      </c>
      <c r="E91" s="2" t="str">
        <f>PROPER(TRIM(Raw_Data!D91))</f>
        <v>West</v>
      </c>
      <c r="F91" s="2" t="str">
        <f>PROPER(TRIM(Raw_Data!E91))</f>
        <v>Electronics</v>
      </c>
      <c r="G91" s="2" t="str">
        <f>PROPER(TRIM(Raw_Data!F91))</f>
        <v>Laptops</v>
      </c>
      <c r="H91" s="2" t="str">
        <f>Raw_Data!G91</f>
        <v>ProBook 14</v>
      </c>
      <c r="I91" s="2">
        <f>Raw_Data!H91</f>
        <v>5</v>
      </c>
      <c r="J91" s="4">
        <f>Raw_Data!I91</f>
        <v>44011.58</v>
      </c>
      <c r="K91" s="4">
        <f>Raw_Data!J91</f>
        <v>28607.53</v>
      </c>
      <c r="L91" s="5">
        <f>IF(Raw_Data!K91="",0,Raw_Data!K91)</f>
        <v>0</v>
      </c>
      <c r="M91" s="4">
        <f t="shared" si="5"/>
        <v>220057.9</v>
      </c>
      <c r="N91" s="4">
        <f t="shared" si="6"/>
        <v>77020.25</v>
      </c>
      <c r="O91" s="6">
        <f t="shared" si="7"/>
        <v>0.34999993183612133</v>
      </c>
    </row>
    <row r="92" spans="1:15" ht="15" customHeight="1" x14ac:dyDescent="0.3">
      <c r="A92" s="2">
        <f>Raw_Data!A92</f>
        <v>100091</v>
      </c>
      <c r="B92" s="3">
        <f>DATEVALUE(Raw_Data!B92)</f>
        <v>45577</v>
      </c>
      <c r="C92" s="2" t="str">
        <f t="shared" si="4"/>
        <v>Oct-2024</v>
      </c>
      <c r="D92" s="2" t="str">
        <f>PROPER(TRIM(Raw_Data!C92))</f>
        <v>Vikram Rao</v>
      </c>
      <c r="E92" s="2" t="str">
        <f>PROPER(TRIM(Raw_Data!D92))</f>
        <v>West</v>
      </c>
      <c r="F92" s="2" t="str">
        <f>PROPER(TRIM(Raw_Data!E92))</f>
        <v>Electronics</v>
      </c>
      <c r="G92" s="2" t="str">
        <f>PROPER(TRIM(Raw_Data!F92))</f>
        <v>Headphones</v>
      </c>
      <c r="H92" s="2" t="str">
        <f>Raw_Data!G92</f>
        <v>StudioFit</v>
      </c>
      <c r="I92" s="2">
        <f>Raw_Data!H92</f>
        <v>3</v>
      </c>
      <c r="J92" s="4">
        <f>Raw_Data!I92</f>
        <v>3161.17</v>
      </c>
      <c r="K92" s="4">
        <f>Raw_Data!J92</f>
        <v>1580.58</v>
      </c>
      <c r="L92" s="5">
        <f>IF(Raw_Data!K92="",0,Raw_Data!K92)</f>
        <v>0</v>
      </c>
      <c r="M92" s="4">
        <f t="shared" si="5"/>
        <v>9483.51</v>
      </c>
      <c r="N92" s="4">
        <f t="shared" si="6"/>
        <v>4741.7700000000004</v>
      </c>
      <c r="O92" s="6">
        <f t="shared" si="7"/>
        <v>0.50000158169285425</v>
      </c>
    </row>
    <row r="93" spans="1:15" ht="15" customHeight="1" x14ac:dyDescent="0.3">
      <c r="A93" s="2">
        <f>Raw_Data!A93</f>
        <v>100092</v>
      </c>
      <c r="B93" s="3">
        <f>DATEVALUE(Raw_Data!B93)</f>
        <v>45436</v>
      </c>
      <c r="C93" s="2" t="str">
        <f t="shared" si="4"/>
        <v>May-2024</v>
      </c>
      <c r="D93" s="2" t="str">
        <f>PROPER(TRIM(Raw_Data!C93))</f>
        <v>Saanvi Gupta</v>
      </c>
      <c r="E93" s="2" t="str">
        <f>PROPER(TRIM(Raw_Data!D93))</f>
        <v>North</v>
      </c>
      <c r="F93" s="2" t="str">
        <f>PROPER(TRIM(Raw_Data!E93))</f>
        <v>Clothing</v>
      </c>
      <c r="G93" s="2" t="str">
        <f>PROPER(TRIM(Raw_Data!F93))</f>
        <v>Bags</v>
      </c>
      <c r="H93" s="2" t="str">
        <f>Raw_Data!G93</f>
        <v>CityCarry Backpack</v>
      </c>
      <c r="I93" s="2">
        <f>Raw_Data!H93</f>
        <v>11</v>
      </c>
      <c r="J93" s="4">
        <f>Raw_Data!I93</f>
        <v>1500.44</v>
      </c>
      <c r="K93" s="4">
        <f>Raw_Data!J93</f>
        <v>750.22</v>
      </c>
      <c r="L93" s="5">
        <f>IF(Raw_Data!K93="",0,Raw_Data!K93)</f>
        <v>0.05</v>
      </c>
      <c r="M93" s="4">
        <f t="shared" si="5"/>
        <v>15679.6</v>
      </c>
      <c r="N93" s="4">
        <f t="shared" si="6"/>
        <v>7427.18</v>
      </c>
      <c r="O93" s="6">
        <f t="shared" si="7"/>
        <v>0.47368427766014443</v>
      </c>
    </row>
    <row r="94" spans="1:15" ht="15" customHeight="1" x14ac:dyDescent="0.3">
      <c r="A94" s="2">
        <f>Raw_Data!A94</f>
        <v>100093</v>
      </c>
      <c r="B94" s="3">
        <f>DATEVALUE(Raw_Data!B94)</f>
        <v>45525</v>
      </c>
      <c r="C94" s="2" t="str">
        <f t="shared" si="4"/>
        <v>Aug-2024</v>
      </c>
      <c r="D94" s="2" t="str">
        <f>PROPER(TRIM(Raw_Data!C94))</f>
        <v>Nikhil Patel</v>
      </c>
      <c r="E94" s="2" t="str">
        <f>PROPER(TRIM(Raw_Data!D94))</f>
        <v>North</v>
      </c>
      <c r="F94" s="2" t="str">
        <f>PROPER(TRIM(Raw_Data!E94))</f>
        <v>Office Supplies</v>
      </c>
      <c r="G94" s="2" t="str">
        <f>PROPER(TRIM(Raw_Data!F94))</f>
        <v>Staplers</v>
      </c>
      <c r="H94" s="2" t="str">
        <f>Raw_Data!G94</f>
        <v>ClickFix Standard</v>
      </c>
      <c r="I94" s="2">
        <f>Raw_Data!H94</f>
        <v>11</v>
      </c>
      <c r="J94" s="4">
        <f>Raw_Data!I94</f>
        <v>222.29</v>
      </c>
      <c r="K94" s="4">
        <f>Raw_Data!J94</f>
        <v>111.14</v>
      </c>
      <c r="L94" s="5">
        <f>IF(Raw_Data!K94="",0,Raw_Data!K94)</f>
        <v>0.15</v>
      </c>
      <c r="M94" s="4">
        <f t="shared" si="5"/>
        <v>2078.41</v>
      </c>
      <c r="N94" s="4">
        <f t="shared" si="6"/>
        <v>855.87</v>
      </c>
      <c r="O94" s="6">
        <f t="shared" si="7"/>
        <v>0.41179074388595133</v>
      </c>
    </row>
    <row r="95" spans="1:15" ht="15" customHeight="1" x14ac:dyDescent="0.3">
      <c r="A95" s="2">
        <f>Raw_Data!A95</f>
        <v>100094</v>
      </c>
      <c r="B95" s="3">
        <f>DATEVALUE(Raw_Data!B95)</f>
        <v>45484</v>
      </c>
      <c r="C95" s="2" t="str">
        <f t="shared" si="4"/>
        <v>Jul-2024</v>
      </c>
      <c r="D95" s="2" t="str">
        <f>PROPER(TRIM(Raw_Data!C95))</f>
        <v>Saanvi Verma</v>
      </c>
      <c r="E95" s="2" t="str">
        <f>PROPER(TRIM(Raw_Data!D95))</f>
        <v>North</v>
      </c>
      <c r="F95" s="2" t="str">
        <f>PROPER(TRIM(Raw_Data!E95))</f>
        <v>Office Supplies</v>
      </c>
      <c r="G95" s="2" t="str">
        <f>PROPER(TRIM(Raw_Data!F95))</f>
        <v>Staplers</v>
      </c>
      <c r="H95" s="2" t="str">
        <f>Raw_Data!G95</f>
        <v>HeavyDuty Pro</v>
      </c>
      <c r="I95" s="2">
        <f>Raw_Data!H95</f>
        <v>9</v>
      </c>
      <c r="J95" s="4">
        <f>Raw_Data!I95</f>
        <v>485.54</v>
      </c>
      <c r="K95" s="4">
        <f>Raw_Data!J95</f>
        <v>242.77</v>
      </c>
      <c r="L95" s="5">
        <f>IF(Raw_Data!K95="",0,Raw_Data!K95)</f>
        <v>0</v>
      </c>
      <c r="M95" s="4">
        <f t="shared" si="5"/>
        <v>4369.8599999999997</v>
      </c>
      <c r="N95" s="4">
        <f t="shared" si="6"/>
        <v>2184.9299999999998</v>
      </c>
      <c r="O95" s="6">
        <f t="shared" si="7"/>
        <v>0.5</v>
      </c>
    </row>
    <row r="96" spans="1:15" ht="15" customHeight="1" x14ac:dyDescent="0.3">
      <c r="A96" s="2">
        <f>Raw_Data!A96</f>
        <v>100095</v>
      </c>
      <c r="B96" s="3">
        <f>DATEVALUE(Raw_Data!B96)</f>
        <v>45544</v>
      </c>
      <c r="C96" s="2" t="str">
        <f t="shared" si="4"/>
        <v>Sep-2024</v>
      </c>
      <c r="D96" s="2" t="str">
        <f>PROPER(TRIM(Raw_Data!C96))</f>
        <v>Tanvi Rao</v>
      </c>
      <c r="E96" s="2" t="str">
        <f>PROPER(TRIM(Raw_Data!D96))</f>
        <v>West</v>
      </c>
      <c r="F96" s="2" t="str">
        <f>PROPER(TRIM(Raw_Data!E96))</f>
        <v>Office Supplies</v>
      </c>
      <c r="G96" s="2" t="str">
        <f>PROPER(TRIM(Raw_Data!F96))</f>
        <v>Pens</v>
      </c>
      <c r="H96" s="2" t="str">
        <f>Raw_Data!G96</f>
        <v>InkFlow Gel Pack5</v>
      </c>
      <c r="I96" s="2">
        <f>Raw_Data!H96</f>
        <v>12</v>
      </c>
      <c r="J96" s="4">
        <f>Raw_Data!I96</f>
        <v>121.76</v>
      </c>
      <c r="K96" s="4">
        <f>Raw_Data!J96</f>
        <v>54.79</v>
      </c>
      <c r="L96" s="5">
        <f>IF(Raw_Data!K96="",0,Raw_Data!K96)</f>
        <v>0.2</v>
      </c>
      <c r="M96" s="4">
        <f t="shared" si="5"/>
        <v>1168.9000000000001</v>
      </c>
      <c r="N96" s="4">
        <f t="shared" si="6"/>
        <v>511.42</v>
      </c>
      <c r="O96" s="6">
        <f t="shared" si="7"/>
        <v>0.4375224570108649</v>
      </c>
    </row>
    <row r="97" spans="1:15" ht="15" customHeight="1" x14ac:dyDescent="0.3">
      <c r="A97" s="2">
        <f>Raw_Data!A97</f>
        <v>100096</v>
      </c>
      <c r="B97" s="3">
        <f>DATEVALUE(Raw_Data!B97)</f>
        <v>45330</v>
      </c>
      <c r="C97" s="2" t="str">
        <f t="shared" si="4"/>
        <v>Feb-2024</v>
      </c>
      <c r="D97" s="2" t="str">
        <f>PROPER(TRIM(Raw_Data!C97))</f>
        <v>Sneha Rao</v>
      </c>
      <c r="E97" s="2" t="str">
        <f>PROPER(TRIM(Raw_Data!D97))</f>
        <v>East</v>
      </c>
      <c r="F97" s="2" t="str">
        <f>PROPER(TRIM(Raw_Data!E97))</f>
        <v>Office Supplies</v>
      </c>
      <c r="G97" s="2" t="str">
        <f>PROPER(TRIM(Raw_Data!F97))</f>
        <v>Binders</v>
      </c>
      <c r="H97" s="2" t="str">
        <f>Raw_Data!G97</f>
        <v>ClampBind Pro</v>
      </c>
      <c r="I97" s="2">
        <f>Raw_Data!H97</f>
        <v>3</v>
      </c>
      <c r="J97" s="4">
        <f>Raw_Data!I97</f>
        <v>218.33</v>
      </c>
      <c r="K97" s="4">
        <f>Raw_Data!J97</f>
        <v>104.8</v>
      </c>
      <c r="L97" s="5">
        <f>IF(Raw_Data!K97="",0,Raw_Data!K97)</f>
        <v>0.05</v>
      </c>
      <c r="M97" s="4">
        <f t="shared" si="5"/>
        <v>622.24</v>
      </c>
      <c r="N97" s="4">
        <f t="shared" si="6"/>
        <v>307.83999999999997</v>
      </c>
      <c r="O97" s="6">
        <f t="shared" si="7"/>
        <v>0.49472872203651319</v>
      </c>
    </row>
    <row r="98" spans="1:15" ht="15" customHeight="1" x14ac:dyDescent="0.3">
      <c r="A98" s="2">
        <f>Raw_Data!A98</f>
        <v>100097</v>
      </c>
      <c r="B98" s="3">
        <f>DATEVALUE(Raw_Data!B98)</f>
        <v>45354</v>
      </c>
      <c r="C98" s="2" t="str">
        <f t="shared" si="4"/>
        <v>Mar-2024</v>
      </c>
      <c r="D98" s="2" t="str">
        <f>PROPER(TRIM(Raw_Data!C98))</f>
        <v>Aman Chopra</v>
      </c>
      <c r="E98" s="2" t="str">
        <f>PROPER(TRIM(Raw_Data!D98))</f>
        <v>South</v>
      </c>
      <c r="F98" s="2" t="str">
        <f>PROPER(TRIM(Raw_Data!E98))</f>
        <v>Electronics</v>
      </c>
      <c r="G98" s="2" t="str">
        <f>PROPER(TRIM(Raw_Data!F98))</f>
        <v>Headphones</v>
      </c>
      <c r="H98" s="2" t="str">
        <f>Raw_Data!G98</f>
        <v>StudioFit</v>
      </c>
      <c r="I98" s="2">
        <f>Raw_Data!H98</f>
        <v>11</v>
      </c>
      <c r="J98" s="4">
        <f>Raw_Data!I98</f>
        <v>3365.03</v>
      </c>
      <c r="K98" s="4">
        <f>Raw_Data!J98</f>
        <v>1682.51</v>
      </c>
      <c r="L98" s="5">
        <f>IF(Raw_Data!K98="",0,Raw_Data!K98)</f>
        <v>0</v>
      </c>
      <c r="M98" s="4">
        <f t="shared" si="5"/>
        <v>37015.33</v>
      </c>
      <c r="N98" s="4">
        <f t="shared" si="6"/>
        <v>18507.72</v>
      </c>
      <c r="O98" s="6">
        <f t="shared" si="7"/>
        <v>0.50000148587085402</v>
      </c>
    </row>
    <row r="99" spans="1:15" ht="15" customHeight="1" x14ac:dyDescent="0.3">
      <c r="A99" s="2">
        <f>Raw_Data!A99</f>
        <v>100098</v>
      </c>
      <c r="B99" s="3">
        <f>DATEVALUE(Raw_Data!B99)</f>
        <v>45420</v>
      </c>
      <c r="C99" s="2" t="str">
        <f t="shared" si="4"/>
        <v>May-2024</v>
      </c>
      <c r="D99" s="2" t="str">
        <f>PROPER(TRIM(Raw_Data!C99))</f>
        <v>Aarav Reddy</v>
      </c>
      <c r="E99" s="2" t="str">
        <f>PROPER(TRIM(Raw_Data!D99))</f>
        <v>West</v>
      </c>
      <c r="F99" s="2" t="str">
        <f>PROPER(TRIM(Raw_Data!E99))</f>
        <v>Electronics</v>
      </c>
      <c r="G99" s="2" t="str">
        <f>PROPER(TRIM(Raw_Data!F99))</f>
        <v>Headphones</v>
      </c>
      <c r="H99" s="2" t="str">
        <f>Raw_Data!G99</f>
        <v>StudioFit</v>
      </c>
      <c r="I99" s="2">
        <f>Raw_Data!H99</f>
        <v>6</v>
      </c>
      <c r="J99" s="4">
        <f>Raw_Data!I99</f>
        <v>3205.58</v>
      </c>
      <c r="K99" s="4">
        <f>Raw_Data!J99</f>
        <v>1602.79</v>
      </c>
      <c r="L99" s="5">
        <f>IF(Raw_Data!K99="",0,Raw_Data!K99)</f>
        <v>0.15</v>
      </c>
      <c r="M99" s="4">
        <f t="shared" si="5"/>
        <v>16348.46</v>
      </c>
      <c r="N99" s="4">
        <f t="shared" si="6"/>
        <v>6731.72</v>
      </c>
      <c r="O99" s="6">
        <f t="shared" si="7"/>
        <v>0.4117647778445187</v>
      </c>
    </row>
    <row r="100" spans="1:15" ht="15" customHeight="1" x14ac:dyDescent="0.3">
      <c r="A100" s="2">
        <f>Raw_Data!A100</f>
        <v>100099</v>
      </c>
      <c r="B100" s="3" t="e">
        <f>DATEVALUE(Raw_Data!B100)</f>
        <v>#VALUE!</v>
      </c>
      <c r="C100" s="2" t="e">
        <f t="shared" si="4"/>
        <v>#VALUE!</v>
      </c>
      <c r="D100" s="2" t="str">
        <f>PROPER(TRIM(Raw_Data!C100))</f>
        <v>Aditya Kapoor</v>
      </c>
      <c r="E100" s="2" t="str">
        <f>PROPER(TRIM(Raw_Data!D100))</f>
        <v>East</v>
      </c>
      <c r="F100" s="2" t="str">
        <f>PROPER(TRIM(Raw_Data!E100))</f>
        <v>Clothing</v>
      </c>
      <c r="G100" s="2" t="str">
        <f>PROPER(TRIM(Raw_Data!F100))</f>
        <v>Jackets</v>
      </c>
      <c r="H100" s="2" t="str">
        <f>Raw_Data!G100</f>
        <v>WinterGuard</v>
      </c>
      <c r="I100" s="2">
        <f>Raw_Data!H100</f>
        <v>3</v>
      </c>
      <c r="J100" s="4">
        <f>Raw_Data!I100</f>
        <v>2970.43</v>
      </c>
      <c r="K100" s="4">
        <f>Raw_Data!J100</f>
        <v>1485.21</v>
      </c>
      <c r="L100" s="5">
        <f>IF(Raw_Data!K100="",0,Raw_Data!K100)</f>
        <v>0.1</v>
      </c>
      <c r="M100" s="4">
        <f t="shared" si="5"/>
        <v>8020.16</v>
      </c>
      <c r="N100" s="4">
        <f t="shared" si="6"/>
        <v>3564.53</v>
      </c>
      <c r="O100" s="6">
        <f t="shared" si="7"/>
        <v>0.44444624546143718</v>
      </c>
    </row>
    <row r="101" spans="1:15" ht="15" customHeight="1" x14ac:dyDescent="0.3">
      <c r="A101" s="2">
        <f>Raw_Data!A101</f>
        <v>100100</v>
      </c>
      <c r="B101" s="3">
        <f>DATEVALUE(Raw_Data!B101)</f>
        <v>45299</v>
      </c>
      <c r="C101" s="2" t="str">
        <f t="shared" si="4"/>
        <v>Jan-2024</v>
      </c>
      <c r="D101" s="2" t="str">
        <f>PROPER(TRIM(Raw_Data!C101))</f>
        <v>Rahul Agarwal</v>
      </c>
      <c r="E101" s="2" t="str">
        <f>PROPER(TRIM(Raw_Data!D101))</f>
        <v>South</v>
      </c>
      <c r="F101" s="2" t="str">
        <f>PROPER(TRIM(Raw_Data!E101))</f>
        <v>Office Supplies</v>
      </c>
      <c r="G101" s="2" t="str">
        <f>PROPER(TRIM(Raw_Data!F101))</f>
        <v>Pens</v>
      </c>
      <c r="H101" s="2" t="str">
        <f>Raw_Data!G101</f>
        <v>WriteSmooth Pack10</v>
      </c>
      <c r="I101" s="2">
        <f>Raw_Data!H101</f>
        <v>4</v>
      </c>
      <c r="J101" s="4">
        <f>Raw_Data!I101</f>
        <v>157.94999999999999</v>
      </c>
      <c r="K101" s="4">
        <f>Raw_Data!J101</f>
        <v>71.08</v>
      </c>
      <c r="L101" s="5">
        <f>IF(Raw_Data!K101="",0,Raw_Data!K101)</f>
        <v>0</v>
      </c>
      <c r="M101" s="4">
        <f t="shared" si="5"/>
        <v>631.79999999999995</v>
      </c>
      <c r="N101" s="4">
        <f t="shared" si="6"/>
        <v>347.48</v>
      </c>
      <c r="O101" s="6">
        <f t="shared" si="7"/>
        <v>0.54998417220639451</v>
      </c>
    </row>
    <row r="102" spans="1:15" ht="15" customHeight="1" x14ac:dyDescent="0.3">
      <c r="A102" s="2">
        <f>Raw_Data!A102</f>
        <v>100101</v>
      </c>
      <c r="B102" s="3" t="e">
        <f>DATEVALUE(Raw_Data!B102)</f>
        <v>#VALUE!</v>
      </c>
      <c r="C102" s="2" t="e">
        <f t="shared" si="4"/>
        <v>#VALUE!</v>
      </c>
      <c r="D102" s="2" t="str">
        <f>PROPER(TRIM(Raw_Data!C102))</f>
        <v>Priya Pillai</v>
      </c>
      <c r="E102" s="2" t="str">
        <f>PROPER(TRIM(Raw_Data!D102))</f>
        <v>West</v>
      </c>
      <c r="F102" s="2" t="str">
        <f>PROPER(TRIM(Raw_Data!E102))</f>
        <v>Clothing</v>
      </c>
      <c r="G102" s="2" t="str">
        <f>PROPER(TRIM(Raw_Data!F102))</f>
        <v>Bags</v>
      </c>
      <c r="H102" s="2" t="str">
        <f>Raw_Data!G102</f>
        <v>CityCarry Backpack</v>
      </c>
      <c r="I102" s="2">
        <f>Raw_Data!H102</f>
        <v>3</v>
      </c>
      <c r="J102" s="4">
        <f>Raw_Data!I102</f>
        <v>1614.61</v>
      </c>
      <c r="K102" s="4">
        <f>Raw_Data!J102</f>
        <v>807.31</v>
      </c>
      <c r="L102" s="5">
        <f>IF(Raw_Data!K102="",0,Raw_Data!K102)</f>
        <v>0.15</v>
      </c>
      <c r="M102" s="4">
        <f t="shared" si="5"/>
        <v>4117.26</v>
      </c>
      <c r="N102" s="4">
        <f t="shared" si="6"/>
        <v>1695.33</v>
      </c>
      <c r="O102" s="6">
        <f t="shared" si="7"/>
        <v>0.41176170560032638</v>
      </c>
    </row>
    <row r="103" spans="1:15" ht="15" customHeight="1" x14ac:dyDescent="0.3">
      <c r="A103" s="2">
        <f>Raw_Data!A103</f>
        <v>100102</v>
      </c>
      <c r="B103" s="3">
        <f>DATEVALUE(Raw_Data!B103)</f>
        <v>45473</v>
      </c>
      <c r="C103" s="2" t="str">
        <f t="shared" si="4"/>
        <v>Jun-2024</v>
      </c>
      <c r="D103" s="2" t="str">
        <f>PROPER(TRIM(Raw_Data!C103))</f>
        <v>Saanvi Pillai</v>
      </c>
      <c r="E103" s="2" t="str">
        <f>PROPER(TRIM(Raw_Data!D103))</f>
        <v>West</v>
      </c>
      <c r="F103" s="2" t="str">
        <f>PROPER(TRIM(Raw_Data!E103))</f>
        <v>Electronics</v>
      </c>
      <c r="G103" s="2" t="str">
        <f>PROPER(TRIM(Raw_Data!F103))</f>
        <v>Laptops</v>
      </c>
      <c r="H103" s="2" t="str">
        <f>Raw_Data!G103</f>
        <v>EcoBook Air</v>
      </c>
      <c r="I103" s="2">
        <f>Raw_Data!H103</f>
        <v>3</v>
      </c>
      <c r="J103" s="4">
        <f>Raw_Data!I103</f>
        <v>37602.379999999997</v>
      </c>
      <c r="K103" s="4">
        <f>Raw_Data!J103</f>
        <v>25569.62</v>
      </c>
      <c r="L103" s="5">
        <f>IF(Raw_Data!K103="",0,Raw_Data!K103)</f>
        <v>0</v>
      </c>
      <c r="M103" s="4">
        <f t="shared" si="5"/>
        <v>112807.14</v>
      </c>
      <c r="N103" s="4">
        <f t="shared" si="6"/>
        <v>36098.28</v>
      </c>
      <c r="O103" s="6">
        <f t="shared" si="7"/>
        <v>0.31999995744950188</v>
      </c>
    </row>
    <row r="104" spans="1:15" ht="15" customHeight="1" x14ac:dyDescent="0.3">
      <c r="A104" s="2">
        <f>Raw_Data!A104</f>
        <v>100103</v>
      </c>
      <c r="B104" s="3" t="e">
        <f>DATEVALUE(Raw_Data!B104)</f>
        <v>#VALUE!</v>
      </c>
      <c r="C104" s="2" t="e">
        <f t="shared" si="4"/>
        <v>#VALUE!</v>
      </c>
      <c r="D104" s="2" t="str">
        <f>PROPER(TRIM(Raw_Data!C104))</f>
        <v>Simran Agarwal</v>
      </c>
      <c r="E104" s="2" t="str">
        <f>PROPER(TRIM(Raw_Data!D104))</f>
        <v>East</v>
      </c>
      <c r="F104" s="2" t="str">
        <f>PROPER(TRIM(Raw_Data!E104))</f>
        <v>Electronics</v>
      </c>
      <c r="G104" s="2" t="str">
        <f>PROPER(TRIM(Raw_Data!F104))</f>
        <v>Headphones</v>
      </c>
      <c r="H104" s="2" t="str">
        <f>Raw_Data!G104</f>
        <v>StudioFit</v>
      </c>
      <c r="I104" s="2">
        <f>Raw_Data!H104</f>
        <v>10</v>
      </c>
      <c r="J104" s="4">
        <f>Raw_Data!I104</f>
        <v>3104.14</v>
      </c>
      <c r="K104" s="4">
        <f>Raw_Data!J104</f>
        <v>1552.07</v>
      </c>
      <c r="L104" s="5">
        <f>IF(Raw_Data!K104="",0,Raw_Data!K104)</f>
        <v>0</v>
      </c>
      <c r="M104" s="4">
        <f t="shared" si="5"/>
        <v>31041.4</v>
      </c>
      <c r="N104" s="4">
        <f t="shared" si="6"/>
        <v>15520.7</v>
      </c>
      <c r="O104" s="6">
        <f t="shared" si="7"/>
        <v>0.5</v>
      </c>
    </row>
    <row r="105" spans="1:15" ht="15" customHeight="1" x14ac:dyDescent="0.3">
      <c r="A105" s="2">
        <f>Raw_Data!A105</f>
        <v>100104</v>
      </c>
      <c r="B105" s="3">
        <f>DATEVALUE(Raw_Data!B105)</f>
        <v>45428</v>
      </c>
      <c r="C105" s="2" t="str">
        <f t="shared" si="4"/>
        <v>May-2024</v>
      </c>
      <c r="D105" s="2" t="str">
        <f>PROPER(TRIM(Raw_Data!C105))</f>
        <v>Nikhil Malhotra</v>
      </c>
      <c r="E105" s="2" t="str">
        <f>PROPER(TRIM(Raw_Data!D105))</f>
        <v>South</v>
      </c>
      <c r="F105" s="2" t="str">
        <f>PROPER(TRIM(Raw_Data!E105))</f>
        <v>Clothing</v>
      </c>
      <c r="G105" s="2" t="str">
        <f>PROPER(TRIM(Raw_Data!F105))</f>
        <v>T-Shirts</v>
      </c>
      <c r="H105" s="2" t="str">
        <f>Raw_Data!G105</f>
        <v>ActiveDry Sport</v>
      </c>
      <c r="I105" s="2">
        <f>Raw_Data!H105</f>
        <v>11</v>
      </c>
      <c r="J105" s="4">
        <f>Raw_Data!I105</f>
        <v>663.6</v>
      </c>
      <c r="K105" s="4">
        <f>Raw_Data!J105</f>
        <v>298.62</v>
      </c>
      <c r="L105" s="5">
        <f>IF(Raw_Data!K105="",0,Raw_Data!K105)</f>
        <v>0.15</v>
      </c>
      <c r="M105" s="4">
        <f t="shared" si="5"/>
        <v>6204.66</v>
      </c>
      <c r="N105" s="4">
        <f t="shared" si="6"/>
        <v>2919.84</v>
      </c>
      <c r="O105" s="6">
        <f t="shared" si="7"/>
        <v>0.4705882352941177</v>
      </c>
    </row>
    <row r="106" spans="1:15" ht="15" customHeight="1" x14ac:dyDescent="0.3">
      <c r="A106" s="2">
        <f>Raw_Data!A106</f>
        <v>100105</v>
      </c>
      <c r="B106" s="3">
        <f>DATEVALUE(Raw_Data!B106)</f>
        <v>45553</v>
      </c>
      <c r="C106" s="2" t="str">
        <f t="shared" si="4"/>
        <v>Sep-2024</v>
      </c>
      <c r="D106" s="2" t="str">
        <f>PROPER(TRIM(Raw_Data!C106))</f>
        <v>Diya Nair</v>
      </c>
      <c r="E106" s="2" t="str">
        <f>PROPER(TRIM(Raw_Data!D106))</f>
        <v>South</v>
      </c>
      <c r="F106" s="2" t="str">
        <f>PROPER(TRIM(Raw_Data!E106))</f>
        <v>Office Supplies</v>
      </c>
      <c r="G106" s="2" t="str">
        <f>PROPER(TRIM(Raw_Data!F106))</f>
        <v>Staplers</v>
      </c>
      <c r="H106" s="2" t="str">
        <f>Raw_Data!G106</f>
        <v>HeavyDuty Pro</v>
      </c>
      <c r="I106" s="2">
        <f>Raw_Data!H106</f>
        <v>7</v>
      </c>
      <c r="J106" s="4">
        <f>Raw_Data!I106</f>
        <v>464.16</v>
      </c>
      <c r="K106" s="4">
        <f>Raw_Data!J106</f>
        <v>232.08</v>
      </c>
      <c r="L106" s="5">
        <f>IF(Raw_Data!K106="",0,Raw_Data!K106)</f>
        <v>0.05</v>
      </c>
      <c r="M106" s="4">
        <f t="shared" si="5"/>
        <v>3086.66</v>
      </c>
      <c r="N106" s="4">
        <f t="shared" si="6"/>
        <v>1462.1</v>
      </c>
      <c r="O106" s="6">
        <f t="shared" si="7"/>
        <v>0.47368352847414358</v>
      </c>
    </row>
    <row r="107" spans="1:15" ht="15" customHeight="1" x14ac:dyDescent="0.3">
      <c r="A107" s="2">
        <f>Raw_Data!A107</f>
        <v>100106</v>
      </c>
      <c r="B107" s="3" t="e">
        <f>DATEVALUE(Raw_Data!B107)</f>
        <v>#VALUE!</v>
      </c>
      <c r="C107" s="2" t="e">
        <f>TEXT(B107,"mmm-yyyy")</f>
        <v>#VALUE!</v>
      </c>
      <c r="D107" s="2" t="str">
        <f>PROPER(TRIM(Raw_Data!C107))</f>
        <v>Neha Mehta</v>
      </c>
      <c r="E107" s="2" t="str">
        <f>PROPER(TRIM(Raw_Data!D107))</f>
        <v>West</v>
      </c>
      <c r="F107" s="2" t="str">
        <f>PROPER(TRIM(Raw_Data!E107))</f>
        <v>Furniture</v>
      </c>
      <c r="G107" s="2" t="str">
        <f>PROPER(TRIM(Raw_Data!F107))</f>
        <v>Desks</v>
      </c>
      <c r="H107" s="2" t="str">
        <f>Raw_Data!G107</f>
        <v>CornerFit Desk</v>
      </c>
      <c r="I107" s="2">
        <f>Raw_Data!H107</f>
        <v>10</v>
      </c>
      <c r="J107" s="4">
        <f>Raw_Data!I107</f>
        <v>10228.719999999999</v>
      </c>
      <c r="K107" s="4">
        <f>Raw_Data!J107</f>
        <v>5932.66</v>
      </c>
      <c r="L107" s="5">
        <f>IF(Raw_Data!K107="",0,Raw_Data!K107)</f>
        <v>0</v>
      </c>
      <c r="M107" s="4">
        <f t="shared" si="5"/>
        <v>102287.2</v>
      </c>
      <c r="N107" s="4">
        <f t="shared" si="6"/>
        <v>42960.6</v>
      </c>
      <c r="O107" s="6">
        <f t="shared" si="7"/>
        <v>0.41999976536653655</v>
      </c>
    </row>
    <row r="108" spans="1:15" ht="15" customHeight="1" x14ac:dyDescent="0.3">
      <c r="A108" s="2">
        <f>Raw_Data!A108</f>
        <v>100107</v>
      </c>
      <c r="B108" s="3" t="e">
        <f>DATEVALUE(Raw_Data!B108)</f>
        <v>#VALUE!</v>
      </c>
      <c r="C108" s="2" t="e">
        <f t="shared" si="4"/>
        <v>#VALUE!</v>
      </c>
      <c r="D108" s="2" t="str">
        <f>PROPER(TRIM(Raw_Data!C108))</f>
        <v>Rahul Sharma</v>
      </c>
      <c r="E108" s="2" t="str">
        <f>PROPER(TRIM(Raw_Data!D108))</f>
        <v>North</v>
      </c>
      <c r="F108" s="2" t="str">
        <f>PROPER(TRIM(Raw_Data!E108))</f>
        <v>Electronics</v>
      </c>
      <c r="G108" s="2" t="str">
        <f>PROPER(TRIM(Raw_Data!F108))</f>
        <v>Monitors</v>
      </c>
      <c r="H108" s="2" t="str">
        <f>Raw_Data!G108</f>
        <v>WideView 27</v>
      </c>
      <c r="I108" s="2">
        <f>Raw_Data!H108</f>
        <v>10</v>
      </c>
      <c r="J108" s="4">
        <f>Raw_Data!I108</f>
        <v>14905.86</v>
      </c>
      <c r="K108" s="4">
        <f>Raw_Data!J108</f>
        <v>8943.51</v>
      </c>
      <c r="L108" s="5">
        <f>IF(Raw_Data!K108="",0,Raw_Data!K108)</f>
        <v>0.15</v>
      </c>
      <c r="M108" s="4">
        <f t="shared" si="5"/>
        <v>126699.81</v>
      </c>
      <c r="N108" s="4">
        <f t="shared" si="6"/>
        <v>37264.71</v>
      </c>
      <c r="O108" s="6">
        <f t="shared" si="7"/>
        <v>0.29411812061912324</v>
      </c>
    </row>
    <row r="109" spans="1:15" ht="15" customHeight="1" x14ac:dyDescent="0.3">
      <c r="A109" s="2">
        <f>Raw_Data!A109</f>
        <v>100108</v>
      </c>
      <c r="B109" s="3" t="e">
        <f>DATEVALUE(Raw_Data!B109)</f>
        <v>#VALUE!</v>
      </c>
      <c r="C109" s="2" t="e">
        <f t="shared" si="4"/>
        <v>#VALUE!</v>
      </c>
      <c r="D109" s="2" t="str">
        <f>PROPER(TRIM(Raw_Data!C109))</f>
        <v>Simran Bhatt</v>
      </c>
      <c r="E109" s="2" t="str">
        <f>PROPER(TRIM(Raw_Data!D109))</f>
        <v>West</v>
      </c>
      <c r="F109" s="2" t="str">
        <f>PROPER(TRIM(Raw_Data!E109))</f>
        <v>Electronics</v>
      </c>
      <c r="G109" s="2" t="str">
        <f>PROPER(TRIM(Raw_Data!F109))</f>
        <v>Headphones</v>
      </c>
      <c r="H109" s="2" t="str">
        <f>Raw_Data!G109</f>
        <v>BassBeat Mini</v>
      </c>
      <c r="I109" s="2">
        <f>Raw_Data!H109</f>
        <v>9</v>
      </c>
      <c r="J109" s="4">
        <f>Raw_Data!I109</f>
        <v>1185.02</v>
      </c>
      <c r="K109" s="4">
        <f>Raw_Data!J109</f>
        <v>711.01</v>
      </c>
      <c r="L109" s="5">
        <f>IF(Raw_Data!K109="",0,Raw_Data!K109)</f>
        <v>0.1</v>
      </c>
      <c r="M109" s="4">
        <f t="shared" si="5"/>
        <v>9598.66</v>
      </c>
      <c r="N109" s="4">
        <f t="shared" si="6"/>
        <v>3199.57</v>
      </c>
      <c r="O109" s="6">
        <f t="shared" si="7"/>
        <v>0.33333506968681048</v>
      </c>
    </row>
    <row r="110" spans="1:15" ht="15" customHeight="1" x14ac:dyDescent="0.3">
      <c r="A110" s="2">
        <f>Raw_Data!A110</f>
        <v>100109</v>
      </c>
      <c r="B110" s="3">
        <f>DATEVALUE(Raw_Data!B110)</f>
        <v>45293</v>
      </c>
      <c r="C110" s="2" t="str">
        <f t="shared" si="4"/>
        <v>Jan-2024</v>
      </c>
      <c r="D110" s="2" t="str">
        <f>PROPER(TRIM(Raw_Data!C110))</f>
        <v>Karan Kapoor</v>
      </c>
      <c r="E110" s="2" t="str">
        <f>PROPER(TRIM(Raw_Data!D110))</f>
        <v>East</v>
      </c>
      <c r="F110" s="2" t="str">
        <f>PROPER(TRIM(Raw_Data!E110))</f>
        <v>Furniture</v>
      </c>
      <c r="G110" s="2" t="str">
        <f>PROPER(TRIM(Raw_Data!F110))</f>
        <v>Desks</v>
      </c>
      <c r="H110" s="2" t="str">
        <f>Raw_Data!G110</f>
        <v>CompactWork</v>
      </c>
      <c r="I110" s="2">
        <f>Raw_Data!H110</f>
        <v>9</v>
      </c>
      <c r="J110" s="4">
        <f>Raw_Data!I110</f>
        <v>4108.9399999999996</v>
      </c>
      <c r="K110" s="4">
        <f>Raw_Data!J110</f>
        <v>2670.81</v>
      </c>
      <c r="L110" s="5">
        <f>IF(Raw_Data!K110="",0,Raw_Data!K110)</f>
        <v>0</v>
      </c>
      <c r="M110" s="4">
        <f t="shared" si="5"/>
        <v>36980.46</v>
      </c>
      <c r="N110" s="4">
        <f t="shared" si="6"/>
        <v>12943.17</v>
      </c>
      <c r="O110" s="6">
        <f t="shared" si="7"/>
        <v>0.35000024337176988</v>
      </c>
    </row>
    <row r="111" spans="1:15" ht="15" customHeight="1" x14ac:dyDescent="0.3">
      <c r="A111" s="2">
        <f>Raw_Data!A111</f>
        <v>100110</v>
      </c>
      <c r="B111" s="3" t="e">
        <f>DATEVALUE(Raw_Data!B111)</f>
        <v>#VALUE!</v>
      </c>
      <c r="C111" s="2" t="e">
        <f t="shared" si="4"/>
        <v>#VALUE!</v>
      </c>
      <c r="D111" s="2" t="str">
        <f>PROPER(TRIM(Raw_Data!C111))</f>
        <v>Karan Agarwal</v>
      </c>
      <c r="E111" s="2" t="str">
        <f>PROPER(TRIM(Raw_Data!D111))</f>
        <v>East</v>
      </c>
      <c r="F111" s="2" t="str">
        <f>PROPER(TRIM(Raw_Data!E111))</f>
        <v>Furniture</v>
      </c>
      <c r="G111" s="2" t="str">
        <f>PROPER(TRIM(Raw_Data!F111))</f>
        <v>Cabinets</v>
      </c>
      <c r="H111" s="2" t="str">
        <f>Raw_Data!G111</f>
        <v>StorageMax Wood</v>
      </c>
      <c r="I111" s="2">
        <f>Raw_Data!H111</f>
        <v>10</v>
      </c>
      <c r="J111" s="4">
        <f>Raw_Data!I111</f>
        <v>4670.5200000000004</v>
      </c>
      <c r="K111" s="4">
        <f>Raw_Data!J111</f>
        <v>2942.43</v>
      </c>
      <c r="L111" s="5">
        <f>IF(Raw_Data!K111="",0,Raw_Data!K111)</f>
        <v>0.2</v>
      </c>
      <c r="M111" s="4">
        <f t="shared" si="5"/>
        <v>37364.160000000003</v>
      </c>
      <c r="N111" s="4">
        <f t="shared" si="6"/>
        <v>7939.86</v>
      </c>
      <c r="O111" s="6">
        <f t="shared" si="7"/>
        <v>0.21249935767323549</v>
      </c>
    </row>
    <row r="112" spans="1:15" ht="15" customHeight="1" x14ac:dyDescent="0.3">
      <c r="A112" s="2">
        <f>Raw_Data!A112</f>
        <v>100111</v>
      </c>
      <c r="B112" s="3" t="e">
        <f>DATEVALUE(Raw_Data!B112)</f>
        <v>#VALUE!</v>
      </c>
      <c r="C112" s="2" t="e">
        <f t="shared" si="4"/>
        <v>#VALUE!</v>
      </c>
      <c r="D112" s="2" t="str">
        <f>PROPER(TRIM(Raw_Data!C112))</f>
        <v>Kabir Nair</v>
      </c>
      <c r="E112" s="2" t="str">
        <f>PROPER(TRIM(Raw_Data!D112))</f>
        <v>North</v>
      </c>
      <c r="F112" s="2" t="str">
        <f>PROPER(TRIM(Raw_Data!E112))</f>
        <v>Clothing</v>
      </c>
      <c r="G112" s="2" t="str">
        <f>PROPER(TRIM(Raw_Data!F112))</f>
        <v>Shoes</v>
      </c>
      <c r="H112" s="2" t="str">
        <f>Raw_Data!G112</f>
        <v>WalkEase Casual</v>
      </c>
      <c r="I112" s="2">
        <f>Raw_Data!H112</f>
        <v>12</v>
      </c>
      <c r="J112" s="4">
        <f>Raw_Data!I112</f>
        <v>1817.68</v>
      </c>
      <c r="K112" s="4">
        <f>Raw_Data!J112</f>
        <v>908.84</v>
      </c>
      <c r="L112" s="5">
        <f>IF(Raw_Data!K112="",0,Raw_Data!K112)</f>
        <v>0</v>
      </c>
      <c r="M112" s="4">
        <f t="shared" si="5"/>
        <v>21812.16</v>
      </c>
      <c r="N112" s="4">
        <f t="shared" si="6"/>
        <v>10906.08</v>
      </c>
      <c r="O112" s="6">
        <f t="shared" si="7"/>
        <v>0.5</v>
      </c>
    </row>
    <row r="113" spans="1:15" ht="15" customHeight="1" x14ac:dyDescent="0.3">
      <c r="A113" s="2">
        <f>Raw_Data!A113</f>
        <v>100112</v>
      </c>
      <c r="B113" s="3">
        <f>DATEVALUE(Raw_Data!B113)</f>
        <v>45605</v>
      </c>
      <c r="C113" s="2" t="str">
        <f t="shared" si="4"/>
        <v>Nov-2024</v>
      </c>
      <c r="D113" s="2" t="str">
        <f>PROPER(TRIM(Raw_Data!C113))</f>
        <v>Pooja Malhotra</v>
      </c>
      <c r="E113" s="2" t="str">
        <f>PROPER(TRIM(Raw_Data!D113))</f>
        <v>South</v>
      </c>
      <c r="F113" s="2" t="str">
        <f>PROPER(TRIM(Raw_Data!E113))</f>
        <v>Clothing</v>
      </c>
      <c r="G113" s="2" t="str">
        <f>PROPER(TRIM(Raw_Data!F113))</f>
        <v>Bags</v>
      </c>
      <c r="H113" s="2" t="str">
        <f>Raw_Data!G113</f>
        <v>CityCarry Backpack</v>
      </c>
      <c r="I113" s="2">
        <f>Raw_Data!H113</f>
        <v>12</v>
      </c>
      <c r="J113" s="4">
        <f>Raw_Data!I113</f>
        <v>1451.93</v>
      </c>
      <c r="K113" s="4">
        <f>Raw_Data!J113</f>
        <v>725.96</v>
      </c>
      <c r="L113" s="5">
        <f>IF(Raw_Data!K113="",0,Raw_Data!K113)</f>
        <v>0</v>
      </c>
      <c r="M113" s="4">
        <f t="shared" si="5"/>
        <v>17423.16</v>
      </c>
      <c r="N113" s="4">
        <f t="shared" si="6"/>
        <v>8711.64</v>
      </c>
      <c r="O113" s="6">
        <f t="shared" si="7"/>
        <v>0.50000344369218896</v>
      </c>
    </row>
    <row r="114" spans="1:15" ht="15" customHeight="1" x14ac:dyDescent="0.3">
      <c r="A114" s="2">
        <f>Raw_Data!A114</f>
        <v>100113</v>
      </c>
      <c r="B114" s="3" t="e">
        <f>DATEVALUE(Raw_Data!B114)</f>
        <v>#VALUE!</v>
      </c>
      <c r="C114" s="2" t="e">
        <f t="shared" si="4"/>
        <v>#VALUE!</v>
      </c>
      <c r="D114" s="2" t="str">
        <f>PROPER(TRIM(Raw_Data!C114))</f>
        <v>Karan Iyer</v>
      </c>
      <c r="E114" s="2" t="str">
        <f>PROPER(TRIM(Raw_Data!D114))</f>
        <v>East</v>
      </c>
      <c r="F114" s="2" t="str">
        <f>PROPER(TRIM(Raw_Data!E114))</f>
        <v>Clothing</v>
      </c>
      <c r="G114" s="2" t="str">
        <f>PROPER(TRIM(Raw_Data!F114))</f>
        <v>Jackets</v>
      </c>
      <c r="H114" s="2" t="str">
        <f>Raw_Data!G114</f>
        <v>WinterGuard</v>
      </c>
      <c r="I114" s="2">
        <f>Raw_Data!H114</f>
        <v>5</v>
      </c>
      <c r="J114" s="4">
        <f>Raw_Data!I114</f>
        <v>2863.14</v>
      </c>
      <c r="K114" s="4">
        <f>Raw_Data!J114</f>
        <v>1431.57</v>
      </c>
      <c r="L114" s="5">
        <f>IF(Raw_Data!K114="",0,Raw_Data!K114)</f>
        <v>0</v>
      </c>
      <c r="M114" s="4">
        <f t="shared" si="5"/>
        <v>14315.7</v>
      </c>
      <c r="N114" s="4">
        <f t="shared" si="6"/>
        <v>7157.85</v>
      </c>
      <c r="O114" s="6">
        <f t="shared" si="7"/>
        <v>0.5</v>
      </c>
    </row>
    <row r="115" spans="1:15" ht="15" customHeight="1" x14ac:dyDescent="0.3">
      <c r="A115" s="2">
        <f>Raw_Data!A115</f>
        <v>100114</v>
      </c>
      <c r="B115" s="3">
        <f>DATEVALUE(Raw_Data!B115)</f>
        <v>45361</v>
      </c>
      <c r="C115" s="2" t="str">
        <f t="shared" si="4"/>
        <v>Mar-2024</v>
      </c>
      <c r="D115" s="2" t="str">
        <f>PROPER(TRIM(Raw_Data!C115))</f>
        <v>Ananya Gupta</v>
      </c>
      <c r="E115" s="2" t="str">
        <f>PROPER(TRIM(Raw_Data!D115))</f>
        <v>East</v>
      </c>
      <c r="F115" s="2" t="str">
        <f>PROPER(TRIM(Raw_Data!E115))</f>
        <v>Electronics</v>
      </c>
      <c r="G115" s="2" t="str">
        <f>PROPER(TRIM(Raw_Data!F115))</f>
        <v>Keyboards</v>
      </c>
      <c r="H115" s="2" t="str">
        <f>Raw_Data!G115</f>
        <v>SilentBoard</v>
      </c>
      <c r="I115" s="2">
        <f>Raw_Data!H115</f>
        <v>6</v>
      </c>
      <c r="J115" s="4">
        <f>Raw_Data!I115</f>
        <v>1020.39</v>
      </c>
      <c r="K115" s="4">
        <f>Raw_Data!J115</f>
        <v>612.24</v>
      </c>
      <c r="L115" s="5">
        <f>IF(Raw_Data!K115="",0,Raw_Data!K115)</f>
        <v>0.2</v>
      </c>
      <c r="M115" s="4">
        <f t="shared" si="5"/>
        <v>4897.87</v>
      </c>
      <c r="N115" s="4">
        <f t="shared" si="6"/>
        <v>1224.43</v>
      </c>
      <c r="O115" s="6">
        <f t="shared" si="7"/>
        <v>0.24999234361058992</v>
      </c>
    </row>
    <row r="116" spans="1:15" ht="15" customHeight="1" x14ac:dyDescent="0.3">
      <c r="A116" s="2">
        <f>Raw_Data!A116</f>
        <v>100115</v>
      </c>
      <c r="B116" s="3">
        <f>DATEVALUE(Raw_Data!B116)</f>
        <v>45313</v>
      </c>
      <c r="C116" s="2" t="str">
        <f t="shared" si="4"/>
        <v>Jan-2024</v>
      </c>
      <c r="D116" s="2" t="str">
        <f>PROPER(TRIM(Raw_Data!C116))</f>
        <v>Manoj Nair</v>
      </c>
      <c r="E116" s="2" t="str">
        <f>PROPER(TRIM(Raw_Data!D116))</f>
        <v>East</v>
      </c>
      <c r="F116" s="2" t="str">
        <f>PROPER(TRIM(Raw_Data!E116))</f>
        <v>Furniture</v>
      </c>
      <c r="G116" s="2" t="str">
        <f>PROPER(TRIM(Raw_Data!F116))</f>
        <v>Chairs</v>
      </c>
      <c r="H116" s="2" t="str">
        <f>Raw_Data!G116</f>
        <v>MeshFlex Pro</v>
      </c>
      <c r="I116" s="2">
        <f>Raw_Data!H116</f>
        <v>12</v>
      </c>
      <c r="J116" s="4">
        <f>Raw_Data!I116</f>
        <v>7286.64</v>
      </c>
      <c r="K116" s="4">
        <f>Raw_Data!J116</f>
        <v>4517.72</v>
      </c>
      <c r="L116" s="5">
        <f>IF(Raw_Data!K116="",0,Raw_Data!K116)</f>
        <v>0</v>
      </c>
      <c r="M116" s="4">
        <f t="shared" si="5"/>
        <v>87439.679999999993</v>
      </c>
      <c r="N116" s="4">
        <f t="shared" si="6"/>
        <v>33227.040000000001</v>
      </c>
      <c r="O116" s="6">
        <f t="shared" si="7"/>
        <v>0.37999956084011288</v>
      </c>
    </row>
    <row r="117" spans="1:15" ht="15" customHeight="1" x14ac:dyDescent="0.3">
      <c r="A117" s="2">
        <f>Raw_Data!A117</f>
        <v>100116</v>
      </c>
      <c r="B117" s="3">
        <f>DATEVALUE(Raw_Data!B117)</f>
        <v>45453</v>
      </c>
      <c r="C117" s="2" t="str">
        <f t="shared" si="4"/>
        <v>Jun-2024</v>
      </c>
      <c r="D117" s="2" t="str">
        <f>PROPER(TRIM(Raw_Data!C117))</f>
        <v>Meera Gupta</v>
      </c>
      <c r="E117" s="2" t="str">
        <f>PROPER(TRIM(Raw_Data!D117))</f>
        <v>South</v>
      </c>
      <c r="F117" s="2" t="str">
        <f>PROPER(TRIM(Raw_Data!E117))</f>
        <v>Clothing</v>
      </c>
      <c r="G117" s="2" t="str">
        <f>PROPER(TRIM(Raw_Data!F117))</f>
        <v>Bags</v>
      </c>
      <c r="H117" s="2" t="str">
        <f>Raw_Data!G117</f>
        <v>TravelMax Duffel</v>
      </c>
      <c r="I117" s="2">
        <f>Raw_Data!H117</f>
        <v>11</v>
      </c>
      <c r="J117" s="4">
        <f>Raw_Data!I117</f>
        <v>1756.67</v>
      </c>
      <c r="K117" s="4">
        <f>Raw_Data!J117</f>
        <v>878.34</v>
      </c>
      <c r="L117" s="5">
        <f>IF(Raw_Data!K117="",0,Raw_Data!K117)</f>
        <v>0.05</v>
      </c>
      <c r="M117" s="4">
        <f t="shared" si="5"/>
        <v>18357.2</v>
      </c>
      <c r="N117" s="4">
        <f t="shared" si="6"/>
        <v>8695.4599999999991</v>
      </c>
      <c r="O117" s="6">
        <f t="shared" si="7"/>
        <v>0.473681171420478</v>
      </c>
    </row>
    <row r="118" spans="1:15" ht="15" customHeight="1" x14ac:dyDescent="0.3">
      <c r="A118" s="2">
        <f>Raw_Data!A118</f>
        <v>100117</v>
      </c>
      <c r="B118" s="3">
        <f>DATEVALUE(Raw_Data!B118)</f>
        <v>45441</v>
      </c>
      <c r="C118" s="2" t="str">
        <f t="shared" si="4"/>
        <v>May-2024</v>
      </c>
      <c r="D118" s="2" t="str">
        <f>PROPER(TRIM(Raw_Data!C118))</f>
        <v>Aarav Mehta</v>
      </c>
      <c r="E118" s="2" t="str">
        <f>PROPER(TRIM(Raw_Data!D118))</f>
        <v>West</v>
      </c>
      <c r="F118" s="2" t="str">
        <f>PROPER(TRIM(Raw_Data!E118))</f>
        <v>Furniture</v>
      </c>
      <c r="G118" s="2" t="str">
        <f>PROPER(TRIM(Raw_Data!F118))</f>
        <v>Chairs</v>
      </c>
      <c r="H118" s="2" t="str">
        <f>Raw_Data!G118</f>
        <v>ClassicWood</v>
      </c>
      <c r="I118" s="2">
        <f>Raw_Data!H118</f>
        <v>8</v>
      </c>
      <c r="J118" s="4">
        <f>Raw_Data!I118</f>
        <v>5065.95</v>
      </c>
      <c r="K118" s="4">
        <f>Raw_Data!J118</f>
        <v>3292.87</v>
      </c>
      <c r="L118" s="5">
        <f>IF(Raw_Data!K118="",0,Raw_Data!K118)</f>
        <v>0.15</v>
      </c>
      <c r="M118" s="4">
        <f t="shared" si="5"/>
        <v>34448.46</v>
      </c>
      <c r="N118" s="4">
        <f t="shared" si="6"/>
        <v>8105.5</v>
      </c>
      <c r="O118" s="6">
        <f t="shared" si="7"/>
        <v>0.23529353706958164</v>
      </c>
    </row>
    <row r="119" spans="1:15" ht="15" customHeight="1" x14ac:dyDescent="0.3">
      <c r="A119" s="2">
        <f>Raw_Data!A119</f>
        <v>100118</v>
      </c>
      <c r="B119" s="3" t="e">
        <f>DATEVALUE(Raw_Data!B119)</f>
        <v>#VALUE!</v>
      </c>
      <c r="C119" s="2" t="e">
        <f t="shared" si="4"/>
        <v>#VALUE!</v>
      </c>
      <c r="D119" s="2" t="str">
        <f>PROPER(TRIM(Raw_Data!C119))</f>
        <v>Manoj Joshi</v>
      </c>
      <c r="E119" s="2" t="str">
        <f>PROPER(TRIM(Raw_Data!D119))</f>
        <v>West</v>
      </c>
      <c r="F119" s="2" t="str">
        <f>PROPER(TRIM(Raw_Data!E119))</f>
        <v>Furniture</v>
      </c>
      <c r="G119" s="2" t="str">
        <f>PROPER(TRIM(Raw_Data!F119))</f>
        <v>Cabinets</v>
      </c>
      <c r="H119" s="2" t="str">
        <f>Raw_Data!G119</f>
        <v>StorageMax Wood</v>
      </c>
      <c r="I119" s="2">
        <f>Raw_Data!H119</f>
        <v>4</v>
      </c>
      <c r="J119" s="4">
        <f>Raw_Data!I119</f>
        <v>4959.1899999999996</v>
      </c>
      <c r="K119" s="4">
        <f>Raw_Data!J119</f>
        <v>3124.29</v>
      </c>
      <c r="L119" s="5">
        <f>IF(Raw_Data!K119="",0,Raw_Data!K119)</f>
        <v>0.05</v>
      </c>
      <c r="M119" s="4">
        <f t="shared" si="5"/>
        <v>18844.919999999998</v>
      </c>
      <c r="N119" s="4">
        <f t="shared" si="6"/>
        <v>6347.76</v>
      </c>
      <c r="O119" s="6">
        <f t="shared" si="7"/>
        <v>0.336841971204972</v>
      </c>
    </row>
    <row r="120" spans="1:15" ht="15" customHeight="1" x14ac:dyDescent="0.3">
      <c r="A120" s="2">
        <f>Raw_Data!A120</f>
        <v>100119</v>
      </c>
      <c r="B120" s="3" t="e">
        <f>DATEVALUE(Raw_Data!B120)</f>
        <v>#VALUE!</v>
      </c>
      <c r="C120" s="2" t="e">
        <f t="shared" si="4"/>
        <v>#VALUE!</v>
      </c>
      <c r="D120" s="2" t="str">
        <f>PROPER(TRIM(Raw_Data!C120))</f>
        <v>Meera Nair</v>
      </c>
      <c r="E120" s="2" t="str">
        <f>PROPER(TRIM(Raw_Data!D120))</f>
        <v>West</v>
      </c>
      <c r="F120" s="2" t="str">
        <f>PROPER(TRIM(Raw_Data!E120))</f>
        <v>Clothing</v>
      </c>
      <c r="G120" s="2" t="str">
        <f>PROPER(TRIM(Raw_Data!F120))</f>
        <v>Shoes</v>
      </c>
      <c r="H120" s="2" t="str">
        <f>Raw_Data!G120</f>
        <v>WalkEase Casual</v>
      </c>
      <c r="I120" s="2">
        <f>Raw_Data!H120</f>
        <v>7</v>
      </c>
      <c r="J120" s="4">
        <f>Raw_Data!I120</f>
        <v>1970.31</v>
      </c>
      <c r="K120" s="4">
        <f>Raw_Data!J120</f>
        <v>985.15</v>
      </c>
      <c r="L120" s="5">
        <f>IF(Raw_Data!K120="",0,Raw_Data!K120)</f>
        <v>0</v>
      </c>
      <c r="M120" s="4">
        <f t="shared" si="5"/>
        <v>13792.17</v>
      </c>
      <c r="N120" s="4">
        <f t="shared" si="6"/>
        <v>6896.12</v>
      </c>
      <c r="O120" s="6">
        <f t="shared" si="7"/>
        <v>0.50000253767173697</v>
      </c>
    </row>
    <row r="121" spans="1:15" ht="15" customHeight="1" x14ac:dyDescent="0.3">
      <c r="A121" s="2">
        <f>Raw_Data!A121</f>
        <v>100120</v>
      </c>
      <c r="B121" s="3">
        <f>DATEVALUE(Raw_Data!B121)</f>
        <v>45448</v>
      </c>
      <c r="C121" s="2" t="str">
        <f t="shared" si="4"/>
        <v>Jun-2024</v>
      </c>
      <c r="D121" s="2" t="str">
        <f>PROPER(TRIM(Raw_Data!C121))</f>
        <v>Priya Pillai</v>
      </c>
      <c r="E121" s="2" t="str">
        <f>PROPER(TRIM(Raw_Data!D121))</f>
        <v>North</v>
      </c>
      <c r="F121" s="2" t="str">
        <f>PROPER(TRIM(Raw_Data!E121))</f>
        <v>Office Supplies</v>
      </c>
      <c r="G121" s="2" t="str">
        <f>PROPER(TRIM(Raw_Data!F121))</f>
        <v>Staplers</v>
      </c>
      <c r="H121" s="2" t="str">
        <f>Raw_Data!G121</f>
        <v>ClickFix Standard</v>
      </c>
      <c r="I121" s="2">
        <f>Raw_Data!H121</f>
        <v>1</v>
      </c>
      <c r="J121" s="4">
        <f>Raw_Data!I121</f>
        <v>228.1</v>
      </c>
      <c r="K121" s="4">
        <f>Raw_Data!J121</f>
        <v>114.05</v>
      </c>
      <c r="L121" s="5">
        <f>IF(Raw_Data!K121="",0,Raw_Data!K121)</f>
        <v>0.1</v>
      </c>
      <c r="M121" s="4">
        <f t="shared" si="5"/>
        <v>205.29</v>
      </c>
      <c r="N121" s="4">
        <f t="shared" si="6"/>
        <v>91.24</v>
      </c>
      <c r="O121" s="6">
        <f t="shared" si="7"/>
        <v>0.44444444444444442</v>
      </c>
    </row>
    <row r="122" spans="1:15" ht="15" customHeight="1" x14ac:dyDescent="0.3">
      <c r="A122" s="2">
        <f>Raw_Data!A122</f>
        <v>100121</v>
      </c>
      <c r="B122" s="3">
        <f>DATEVALUE(Raw_Data!B122)</f>
        <v>45636</v>
      </c>
      <c r="C122" s="2" t="str">
        <f t="shared" si="4"/>
        <v>Dec-2024</v>
      </c>
      <c r="D122" s="2" t="str">
        <f>PROPER(TRIM(Raw_Data!C122))</f>
        <v>Karan Shah</v>
      </c>
      <c r="E122" s="2" t="str">
        <f>PROPER(TRIM(Raw_Data!D122))</f>
        <v>East</v>
      </c>
      <c r="F122" s="2" t="str">
        <f>PROPER(TRIM(Raw_Data!E122))</f>
        <v>Furniture</v>
      </c>
      <c r="G122" s="2" t="str">
        <f>PROPER(TRIM(Raw_Data!F122))</f>
        <v>Desks</v>
      </c>
      <c r="H122" s="2" t="str">
        <f>Raw_Data!G122</f>
        <v>StudyMax L</v>
      </c>
      <c r="I122" s="2">
        <f>Raw_Data!H122</f>
        <v>8</v>
      </c>
      <c r="J122" s="4">
        <f>Raw_Data!I122</f>
        <v>6013.47</v>
      </c>
      <c r="K122" s="4">
        <f>Raw_Data!J122</f>
        <v>3608.08</v>
      </c>
      <c r="L122" s="5">
        <f>IF(Raw_Data!K122="",0,Raw_Data!K122)</f>
        <v>0.15</v>
      </c>
      <c r="M122" s="4">
        <f t="shared" si="5"/>
        <v>40891.599999999999</v>
      </c>
      <c r="N122" s="4">
        <f t="shared" si="6"/>
        <v>12026.96</v>
      </c>
      <c r="O122" s="6">
        <f t="shared" si="7"/>
        <v>0.29411810738635807</v>
      </c>
    </row>
    <row r="123" spans="1:15" ht="15" customHeight="1" x14ac:dyDescent="0.3">
      <c r="A123" s="2">
        <f>Raw_Data!A123</f>
        <v>100122</v>
      </c>
      <c r="B123" s="3">
        <f>DATEVALUE(Raw_Data!B123)</f>
        <v>45564</v>
      </c>
      <c r="C123" s="2" t="str">
        <f t="shared" si="4"/>
        <v>Sep-2024</v>
      </c>
      <c r="D123" s="2" t="str">
        <f>PROPER(TRIM(Raw_Data!C123))</f>
        <v>Vikram Shah</v>
      </c>
      <c r="E123" s="2" t="str">
        <f>PROPER(TRIM(Raw_Data!D123))</f>
        <v>North</v>
      </c>
      <c r="F123" s="2" t="str">
        <f>PROPER(TRIM(Raw_Data!E123))</f>
        <v>Clothing</v>
      </c>
      <c r="G123" s="2" t="str">
        <f>PROPER(TRIM(Raw_Data!F123))</f>
        <v>Shoes</v>
      </c>
      <c r="H123" s="2" t="str">
        <f>Raw_Data!G123</f>
        <v>WalkEase Casual</v>
      </c>
      <c r="I123" s="2">
        <f>Raw_Data!H123</f>
        <v>10</v>
      </c>
      <c r="J123" s="4">
        <f>Raw_Data!I123</f>
        <v>1832.72</v>
      </c>
      <c r="K123" s="4">
        <f>Raw_Data!J123</f>
        <v>916.36</v>
      </c>
      <c r="L123" s="5">
        <f>IF(Raw_Data!K123="",0,Raw_Data!K123)</f>
        <v>0.2</v>
      </c>
      <c r="M123" s="4">
        <f t="shared" si="5"/>
        <v>14661.76</v>
      </c>
      <c r="N123" s="4">
        <f t="shared" si="6"/>
        <v>5498.16</v>
      </c>
      <c r="O123" s="6">
        <f t="shared" si="7"/>
        <v>0.375</v>
      </c>
    </row>
    <row r="124" spans="1:15" ht="15" customHeight="1" x14ac:dyDescent="0.3">
      <c r="A124" s="2">
        <f>Raw_Data!A124</f>
        <v>100123</v>
      </c>
      <c r="B124" s="3">
        <f>DATEVALUE(Raw_Data!B124)</f>
        <v>45332</v>
      </c>
      <c r="C124" s="2" t="str">
        <f t="shared" si="4"/>
        <v>Feb-2024</v>
      </c>
      <c r="D124" s="2" t="str">
        <f>PROPER(TRIM(Raw_Data!C124))</f>
        <v>Priya Mehta</v>
      </c>
      <c r="E124" s="2" t="str">
        <f>PROPER(TRIM(Raw_Data!D124))</f>
        <v>North</v>
      </c>
      <c r="F124" s="2" t="str">
        <f>PROPER(TRIM(Raw_Data!E124))</f>
        <v>Clothing</v>
      </c>
      <c r="G124" s="2" t="str">
        <f>PROPER(TRIM(Raw_Data!F124))</f>
        <v>T-Shirts</v>
      </c>
      <c r="H124" s="2" t="str">
        <f>Raw_Data!G124</f>
        <v>ActiveDry Sport</v>
      </c>
      <c r="I124" s="2">
        <f>Raw_Data!H124</f>
        <v>3</v>
      </c>
      <c r="J124" s="4">
        <f>Raw_Data!I124</f>
        <v>660.87</v>
      </c>
      <c r="K124" s="4">
        <f>Raw_Data!J124</f>
        <v>297.39</v>
      </c>
      <c r="L124" s="5">
        <f>IF(Raw_Data!K124="",0,Raw_Data!K124)</f>
        <v>0.1</v>
      </c>
      <c r="M124" s="4">
        <f t="shared" si="5"/>
        <v>1784.35</v>
      </c>
      <c r="N124" s="4">
        <f t="shared" si="6"/>
        <v>892.18</v>
      </c>
      <c r="O124" s="6">
        <f t="shared" si="7"/>
        <v>0.50000280214083559</v>
      </c>
    </row>
    <row r="125" spans="1:15" ht="15" customHeight="1" x14ac:dyDescent="0.3">
      <c r="A125" s="2">
        <f>Raw_Data!A125</f>
        <v>100124</v>
      </c>
      <c r="B125" s="3">
        <f>DATEVALUE(Raw_Data!B125)</f>
        <v>45376</v>
      </c>
      <c r="C125" s="2" t="str">
        <f t="shared" si="4"/>
        <v>Mar-2024</v>
      </c>
      <c r="D125" s="2" t="str">
        <f>PROPER(TRIM(Raw_Data!C125))</f>
        <v>Aman Rao</v>
      </c>
      <c r="E125" s="2" t="str">
        <f>PROPER(TRIM(Raw_Data!D125))</f>
        <v>East</v>
      </c>
      <c r="F125" s="2" t="str">
        <f>PROPER(TRIM(Raw_Data!E125))</f>
        <v>Electronics</v>
      </c>
      <c r="G125" s="2" t="str">
        <f>PROPER(TRIM(Raw_Data!F125))</f>
        <v>Laptops</v>
      </c>
      <c r="H125" s="2" t="str">
        <f>Raw_Data!G125</f>
        <v>ProBook 14</v>
      </c>
      <c r="I125" s="2">
        <f>Raw_Data!H125</f>
        <v>8</v>
      </c>
      <c r="J125" s="4">
        <f>Raw_Data!I125</f>
        <v>42935.65</v>
      </c>
      <c r="K125" s="4">
        <f>Raw_Data!J125</f>
        <v>27908.17</v>
      </c>
      <c r="L125" s="5">
        <f>IF(Raw_Data!K125="",0,Raw_Data!K125)</f>
        <v>0.1</v>
      </c>
      <c r="M125" s="4">
        <f t="shared" si="5"/>
        <v>309136.68</v>
      </c>
      <c r="N125" s="4">
        <f t="shared" si="6"/>
        <v>85871.32</v>
      </c>
      <c r="O125" s="6">
        <f t="shared" si="7"/>
        <v>0.27777784247407977</v>
      </c>
    </row>
    <row r="126" spans="1:15" ht="15" customHeight="1" x14ac:dyDescent="0.3">
      <c r="A126" s="2">
        <f>Raw_Data!A126</f>
        <v>100125</v>
      </c>
      <c r="B126" s="3">
        <f>DATEVALUE(Raw_Data!B126)</f>
        <v>45634</v>
      </c>
      <c r="C126" s="2" t="str">
        <f t="shared" si="4"/>
        <v>Dec-2024</v>
      </c>
      <c r="D126" s="2" t="str">
        <f>PROPER(TRIM(Raw_Data!C126))</f>
        <v>Aman Sharma</v>
      </c>
      <c r="E126" s="2" t="str">
        <f>PROPER(TRIM(Raw_Data!D126))</f>
        <v>South</v>
      </c>
      <c r="F126" s="2" t="str">
        <f>PROPER(TRIM(Raw_Data!E126))</f>
        <v>Office Supplies</v>
      </c>
      <c r="G126" s="2" t="str">
        <f>PROPER(TRIM(Raw_Data!F126))</f>
        <v>Paper</v>
      </c>
      <c r="H126" s="2" t="str">
        <f>Raw_Data!G126</f>
        <v>PrintPro A4 Ream</v>
      </c>
      <c r="I126" s="2">
        <f>Raw_Data!H126</f>
        <v>9</v>
      </c>
      <c r="J126" s="4">
        <f>Raw_Data!I126</f>
        <v>280.31</v>
      </c>
      <c r="K126" s="4">
        <f>Raw_Data!J126</f>
        <v>140.15</v>
      </c>
      <c r="L126" s="5">
        <f>IF(Raw_Data!K126="",0,Raw_Data!K126)</f>
        <v>0</v>
      </c>
      <c r="M126" s="4">
        <f t="shared" si="5"/>
        <v>2522.79</v>
      </c>
      <c r="N126" s="4">
        <f t="shared" si="6"/>
        <v>1261.44</v>
      </c>
      <c r="O126" s="6">
        <f t="shared" si="7"/>
        <v>0.50001783739431349</v>
      </c>
    </row>
    <row r="127" spans="1:15" ht="15" customHeight="1" x14ac:dyDescent="0.3">
      <c r="A127" s="2">
        <f>Raw_Data!A127</f>
        <v>100126</v>
      </c>
      <c r="B127" s="3">
        <f>DATEVALUE(Raw_Data!B127)</f>
        <v>45324</v>
      </c>
      <c r="C127" s="2" t="str">
        <f t="shared" si="4"/>
        <v>Feb-2024</v>
      </c>
      <c r="D127" s="2" t="str">
        <f>PROPER(TRIM(Raw_Data!C127))</f>
        <v>Sneha Sharma</v>
      </c>
      <c r="E127" s="2" t="str">
        <f>PROPER(TRIM(Raw_Data!D127))</f>
        <v>West</v>
      </c>
      <c r="F127" s="2" t="str">
        <f>PROPER(TRIM(Raw_Data!E127))</f>
        <v>Office Supplies</v>
      </c>
      <c r="G127" s="2" t="str">
        <f>PROPER(TRIM(Raw_Data!F127))</f>
        <v>Pens</v>
      </c>
      <c r="H127" s="2" t="str">
        <f>Raw_Data!G127</f>
        <v>InkFlow Gel Pack5</v>
      </c>
      <c r="I127" s="2">
        <f>Raw_Data!H127</f>
        <v>4</v>
      </c>
      <c r="J127" s="4">
        <f>Raw_Data!I127</f>
        <v>128.62</v>
      </c>
      <c r="K127" s="4">
        <f>Raw_Data!J127</f>
        <v>57.88</v>
      </c>
      <c r="L127" s="5">
        <f>IF(Raw_Data!K127="",0,Raw_Data!K127)</f>
        <v>0.15</v>
      </c>
      <c r="M127" s="4">
        <f t="shared" si="5"/>
        <v>437.31</v>
      </c>
      <c r="N127" s="4">
        <f t="shared" si="6"/>
        <v>205.79</v>
      </c>
      <c r="O127" s="6">
        <f t="shared" si="7"/>
        <v>0.4705815096842057</v>
      </c>
    </row>
    <row r="128" spans="1:15" ht="15" customHeight="1" x14ac:dyDescent="0.3">
      <c r="A128" s="2">
        <f>Raw_Data!A128</f>
        <v>100127</v>
      </c>
      <c r="B128" s="3">
        <f>DATEVALUE(Raw_Data!B128)</f>
        <v>45413</v>
      </c>
      <c r="C128" s="2" t="str">
        <f t="shared" si="4"/>
        <v>May-2024</v>
      </c>
      <c r="D128" s="2" t="str">
        <f>PROPER(TRIM(Raw_Data!C128))</f>
        <v>Arjun Agarwal</v>
      </c>
      <c r="E128" s="2" t="str">
        <f>PROPER(TRIM(Raw_Data!D128))</f>
        <v>South</v>
      </c>
      <c r="F128" s="2" t="str">
        <f>PROPER(TRIM(Raw_Data!E128))</f>
        <v>Electronics</v>
      </c>
      <c r="G128" s="2" t="str">
        <f>PROPER(TRIM(Raw_Data!F128))</f>
        <v>Keyboards</v>
      </c>
      <c r="H128" s="2" t="str">
        <f>Raw_Data!G128</f>
        <v>SilentBoard</v>
      </c>
      <c r="I128" s="2">
        <f>Raw_Data!H128</f>
        <v>4</v>
      </c>
      <c r="J128" s="4">
        <f>Raw_Data!I128</f>
        <v>969.16</v>
      </c>
      <c r="K128" s="4">
        <f>Raw_Data!J128</f>
        <v>581.5</v>
      </c>
      <c r="L128" s="5">
        <f>IF(Raw_Data!K128="",0,Raw_Data!K128)</f>
        <v>0.2</v>
      </c>
      <c r="M128" s="4">
        <f t="shared" si="5"/>
        <v>3101.31</v>
      </c>
      <c r="N128" s="4">
        <f t="shared" si="6"/>
        <v>775.31</v>
      </c>
      <c r="O128" s="6">
        <f t="shared" si="7"/>
        <v>0.2499943572232379</v>
      </c>
    </row>
    <row r="129" spans="1:15" ht="15" customHeight="1" x14ac:dyDescent="0.3">
      <c r="A129" s="2">
        <f>Raw_Data!A129</f>
        <v>100128</v>
      </c>
      <c r="B129" s="3">
        <f>DATEVALUE(Raw_Data!B129)</f>
        <v>45656</v>
      </c>
      <c r="C129" s="2" t="str">
        <f t="shared" si="4"/>
        <v>Dec-2024</v>
      </c>
      <c r="D129" s="2" t="str">
        <f>PROPER(TRIM(Raw_Data!C129))</f>
        <v>Manoj Rao</v>
      </c>
      <c r="E129" s="2" t="str">
        <f>PROPER(TRIM(Raw_Data!D129))</f>
        <v>South</v>
      </c>
      <c r="F129" s="2" t="str">
        <f>PROPER(TRIM(Raw_Data!E129))</f>
        <v>Clothing</v>
      </c>
      <c r="G129" s="2" t="str">
        <f>PROPER(TRIM(Raw_Data!F129))</f>
        <v>Shoes</v>
      </c>
      <c r="H129" s="2" t="str">
        <f>Raw_Data!G129</f>
        <v>RunFast Sport</v>
      </c>
      <c r="I129" s="2">
        <f>Raw_Data!H129</f>
        <v>1</v>
      </c>
      <c r="J129" s="4">
        <f>Raw_Data!I129</f>
        <v>2658.17</v>
      </c>
      <c r="K129" s="4">
        <f>Raw_Data!J129</f>
        <v>1275.92</v>
      </c>
      <c r="L129" s="5">
        <f>IF(Raw_Data!K129="",0,Raw_Data!K129)</f>
        <v>0.1</v>
      </c>
      <c r="M129" s="4">
        <f t="shared" si="5"/>
        <v>2392.35</v>
      </c>
      <c r="N129" s="4">
        <f t="shared" si="6"/>
        <v>1116.43</v>
      </c>
      <c r="O129" s="6">
        <f t="shared" si="7"/>
        <v>0.46666666666666673</v>
      </c>
    </row>
    <row r="130" spans="1:15" ht="15" customHeight="1" x14ac:dyDescent="0.3">
      <c r="A130" s="2">
        <f>Raw_Data!A130</f>
        <v>100129</v>
      </c>
      <c r="B130" s="3">
        <f>DATEVALUE(Raw_Data!B130)</f>
        <v>45512</v>
      </c>
      <c r="C130" s="2" t="str">
        <f t="shared" ref="C130:C193" si="8">TEXT(B130,"mmm-yyyy")</f>
        <v>Aug-2024</v>
      </c>
      <c r="D130" s="2" t="str">
        <f>PROPER(TRIM(Raw_Data!C130))</f>
        <v>Ananya Patel</v>
      </c>
      <c r="E130" s="2" t="str">
        <f>PROPER(TRIM(Raw_Data!D130))</f>
        <v>West</v>
      </c>
      <c r="F130" s="2" t="str">
        <f>PROPER(TRIM(Raw_Data!E130))</f>
        <v>Clothing</v>
      </c>
      <c r="G130" s="2" t="str">
        <f>PROPER(TRIM(Raw_Data!F130))</f>
        <v>Jackets</v>
      </c>
      <c r="H130" s="2" t="str">
        <f>Raw_Data!G130</f>
        <v>RainShield Pro</v>
      </c>
      <c r="I130" s="2">
        <f>Raw_Data!H130</f>
        <v>7</v>
      </c>
      <c r="J130" s="4">
        <f>Raw_Data!I130</f>
        <v>2142.59</v>
      </c>
      <c r="K130" s="4">
        <f>Raw_Data!J130</f>
        <v>1071.29</v>
      </c>
      <c r="L130" s="5">
        <f>IF(Raw_Data!K130="",0,Raw_Data!K130)</f>
        <v>0.1</v>
      </c>
      <c r="M130" s="4">
        <f t="shared" ref="M130:M193" si="9">ROUND(I130*J130*(1-L130),2)</f>
        <v>13498.32</v>
      </c>
      <c r="N130" s="4">
        <f t="shared" ref="N130:N193" si="10">ROUND(M130-(I130*K130),2)</f>
        <v>5999.29</v>
      </c>
      <c r="O130" s="6">
        <f t="shared" ref="O130:O193" si="11">IFERROR(N130/M130,0)</f>
        <v>0.44444716083186647</v>
      </c>
    </row>
    <row r="131" spans="1:15" ht="15" customHeight="1" x14ac:dyDescent="0.3">
      <c r="A131" s="2">
        <f>Raw_Data!A131</f>
        <v>100130</v>
      </c>
      <c r="B131" s="3">
        <f>DATEVALUE(Raw_Data!B131)</f>
        <v>45446</v>
      </c>
      <c r="C131" s="2" t="str">
        <f t="shared" si="8"/>
        <v>Jun-2024</v>
      </c>
      <c r="D131" s="2" t="str">
        <f>PROPER(TRIM(Raw_Data!C131))</f>
        <v>Vivaan Joshi</v>
      </c>
      <c r="E131" s="2" t="str">
        <f>PROPER(TRIM(Raw_Data!D131))</f>
        <v>South</v>
      </c>
      <c r="F131" s="2" t="str">
        <f>PROPER(TRIM(Raw_Data!E131))</f>
        <v>Office Supplies</v>
      </c>
      <c r="G131" s="2" t="str">
        <f>PROPER(TRIM(Raw_Data!F131))</f>
        <v>Pens</v>
      </c>
      <c r="H131" s="2" t="str">
        <f>Raw_Data!G131</f>
        <v>InkFlow Gel Pack5</v>
      </c>
      <c r="I131" s="2">
        <f>Raw_Data!H131</f>
        <v>11</v>
      </c>
      <c r="J131" s="4">
        <f>Raw_Data!I131</f>
        <v>115.23</v>
      </c>
      <c r="K131" s="4">
        <f>Raw_Data!J131</f>
        <v>51.86</v>
      </c>
      <c r="L131" s="5">
        <f>IF(Raw_Data!K131="",0,Raw_Data!K131)</f>
        <v>0.1</v>
      </c>
      <c r="M131" s="4">
        <f t="shared" si="9"/>
        <v>1140.78</v>
      </c>
      <c r="N131" s="4">
        <f t="shared" si="10"/>
        <v>570.32000000000005</v>
      </c>
      <c r="O131" s="6">
        <f t="shared" si="11"/>
        <v>0.49993863847542913</v>
      </c>
    </row>
    <row r="132" spans="1:15" ht="15" customHeight="1" x14ac:dyDescent="0.3">
      <c r="A132" s="2">
        <f>Raw_Data!A132</f>
        <v>100131</v>
      </c>
      <c r="B132" s="3">
        <f>DATEVALUE(Raw_Data!B132)</f>
        <v>45412</v>
      </c>
      <c r="C132" s="2" t="str">
        <f t="shared" si="8"/>
        <v>Apr-2024</v>
      </c>
      <c r="D132" s="2" t="str">
        <f>PROPER(TRIM(Raw_Data!C132))</f>
        <v>Tanvi Singh</v>
      </c>
      <c r="E132" s="2" t="str">
        <f>PROPER(TRIM(Raw_Data!D132))</f>
        <v>South</v>
      </c>
      <c r="F132" s="2" t="str">
        <f>PROPER(TRIM(Raw_Data!E132))</f>
        <v>Clothing</v>
      </c>
      <c r="G132" s="2" t="str">
        <f>PROPER(TRIM(Raw_Data!F132))</f>
        <v>Jackets</v>
      </c>
      <c r="H132" s="2" t="str">
        <f>Raw_Data!G132</f>
        <v>RainShield Pro</v>
      </c>
      <c r="I132" s="2">
        <f>Raw_Data!H132</f>
        <v>5</v>
      </c>
      <c r="J132" s="4">
        <f>Raw_Data!I132</f>
        <v>2363.71</v>
      </c>
      <c r="K132" s="4">
        <f>Raw_Data!J132</f>
        <v>1181.8499999999999</v>
      </c>
      <c r="L132" s="5">
        <f>IF(Raw_Data!K132="",0,Raw_Data!K132)</f>
        <v>0</v>
      </c>
      <c r="M132" s="4">
        <f t="shared" si="9"/>
        <v>11818.55</v>
      </c>
      <c r="N132" s="4">
        <f t="shared" si="10"/>
        <v>5909.3</v>
      </c>
      <c r="O132" s="6">
        <f t="shared" si="11"/>
        <v>0.50000211531871508</v>
      </c>
    </row>
    <row r="133" spans="1:15" ht="15" customHeight="1" x14ac:dyDescent="0.3">
      <c r="A133" s="2">
        <f>Raw_Data!A133</f>
        <v>100132</v>
      </c>
      <c r="B133" s="3">
        <f>DATEVALUE(Raw_Data!B133)</f>
        <v>45540</v>
      </c>
      <c r="C133" s="2" t="str">
        <f t="shared" si="8"/>
        <v>Sep-2024</v>
      </c>
      <c r="D133" s="2" t="str">
        <f>PROPER(TRIM(Raw_Data!C133))</f>
        <v>Pooja Das</v>
      </c>
      <c r="E133" s="2" t="str">
        <f>PROPER(TRIM(Raw_Data!D133))</f>
        <v>South</v>
      </c>
      <c r="F133" s="2" t="str">
        <f>PROPER(TRIM(Raw_Data!E133))</f>
        <v>Office Supplies</v>
      </c>
      <c r="G133" s="2" t="str">
        <f>PROPER(TRIM(Raw_Data!F133))</f>
        <v>Staplers</v>
      </c>
      <c r="H133" s="2" t="str">
        <f>Raw_Data!G133</f>
        <v>HeavyDuty Pro</v>
      </c>
      <c r="I133" s="2">
        <f>Raw_Data!H133</f>
        <v>8</v>
      </c>
      <c r="J133" s="4">
        <f>Raw_Data!I133</f>
        <v>489.3</v>
      </c>
      <c r="K133" s="4">
        <f>Raw_Data!J133</f>
        <v>244.65</v>
      </c>
      <c r="L133" s="5">
        <f>IF(Raw_Data!K133="",0,Raw_Data!K133)</f>
        <v>0.05</v>
      </c>
      <c r="M133" s="4">
        <f t="shared" si="9"/>
        <v>3718.68</v>
      </c>
      <c r="N133" s="4">
        <f t="shared" si="10"/>
        <v>1761.48</v>
      </c>
      <c r="O133" s="6">
        <f t="shared" si="11"/>
        <v>0.47368421052631582</v>
      </c>
    </row>
    <row r="134" spans="1:15" ht="15" customHeight="1" x14ac:dyDescent="0.3">
      <c r="A134" s="2">
        <f>Raw_Data!A134</f>
        <v>100133</v>
      </c>
      <c r="B134" s="3" t="e">
        <f>DATEVALUE(Raw_Data!B134)</f>
        <v>#VALUE!</v>
      </c>
      <c r="C134" s="2" t="e">
        <f t="shared" si="8"/>
        <v>#VALUE!</v>
      </c>
      <c r="D134" s="2" t="str">
        <f>PROPER(TRIM(Raw_Data!C134))</f>
        <v>Ananya Patel</v>
      </c>
      <c r="E134" s="2" t="str">
        <f>PROPER(TRIM(Raw_Data!D134))</f>
        <v>East</v>
      </c>
      <c r="F134" s="2" t="str">
        <f>PROPER(TRIM(Raw_Data!E134))</f>
        <v>Clothing</v>
      </c>
      <c r="G134" s="2" t="str">
        <f>PROPER(TRIM(Raw_Data!F134))</f>
        <v>T-Shirts</v>
      </c>
      <c r="H134" s="2" t="str">
        <f>Raw_Data!G134</f>
        <v>CottonBasic</v>
      </c>
      <c r="I134" s="2">
        <f>Raw_Data!H134</f>
        <v>12</v>
      </c>
      <c r="J134" s="4">
        <f>Raw_Data!I134</f>
        <v>436.04</v>
      </c>
      <c r="K134" s="4">
        <f>Raw_Data!J134</f>
        <v>196.22</v>
      </c>
      <c r="L134" s="5">
        <f>IF(Raw_Data!K134="",0,Raw_Data!K134)</f>
        <v>0.05</v>
      </c>
      <c r="M134" s="4">
        <f t="shared" si="9"/>
        <v>4970.8599999999997</v>
      </c>
      <c r="N134" s="4">
        <f t="shared" si="10"/>
        <v>2616.2199999999998</v>
      </c>
      <c r="O134" s="6">
        <f t="shared" si="11"/>
        <v>0.52631134250411393</v>
      </c>
    </row>
    <row r="135" spans="1:15" ht="15" customHeight="1" x14ac:dyDescent="0.3">
      <c r="A135" s="2">
        <f>Raw_Data!A135</f>
        <v>100134</v>
      </c>
      <c r="B135" s="3">
        <f>DATEVALUE(Raw_Data!B135)</f>
        <v>45449</v>
      </c>
      <c r="C135" s="2" t="str">
        <f t="shared" si="8"/>
        <v>Jun-2024</v>
      </c>
      <c r="D135" s="2" t="str">
        <f>PROPER(TRIM(Raw_Data!C135))</f>
        <v>Tanvi Shah</v>
      </c>
      <c r="E135" s="2" t="str">
        <f>PROPER(TRIM(Raw_Data!D135))</f>
        <v>East</v>
      </c>
      <c r="F135" s="2" t="str">
        <f>PROPER(TRIM(Raw_Data!E135))</f>
        <v>Office Supplies</v>
      </c>
      <c r="G135" s="2" t="str">
        <f>PROPER(TRIM(Raw_Data!F135))</f>
        <v>Binders</v>
      </c>
      <c r="H135" s="2" t="str">
        <f>Raw_Data!G135</f>
        <v>ClampBind Pro</v>
      </c>
      <c r="I135" s="2">
        <f>Raw_Data!H135</f>
        <v>8</v>
      </c>
      <c r="J135" s="4">
        <f>Raw_Data!I135</f>
        <v>204.09</v>
      </c>
      <c r="K135" s="4">
        <f>Raw_Data!J135</f>
        <v>97.96</v>
      </c>
      <c r="L135" s="5">
        <f>IF(Raw_Data!K135="",0,Raw_Data!K135)</f>
        <v>0.2</v>
      </c>
      <c r="M135" s="4">
        <f t="shared" si="9"/>
        <v>1306.18</v>
      </c>
      <c r="N135" s="4">
        <f t="shared" si="10"/>
        <v>522.5</v>
      </c>
      <c r="O135" s="6">
        <f t="shared" si="11"/>
        <v>0.40002143655545175</v>
      </c>
    </row>
    <row r="136" spans="1:15" ht="15" customHeight="1" x14ac:dyDescent="0.3">
      <c r="A136" s="2">
        <f>Raw_Data!A136</f>
        <v>100135</v>
      </c>
      <c r="B136" s="3">
        <f>DATEVALUE(Raw_Data!B136)</f>
        <v>45345</v>
      </c>
      <c r="C136" s="2" t="str">
        <f t="shared" si="8"/>
        <v>Feb-2024</v>
      </c>
      <c r="D136" s="2" t="str">
        <f>PROPER(TRIM(Raw_Data!C136))</f>
        <v>Aarav Iyer</v>
      </c>
      <c r="E136" s="2" t="str">
        <f>PROPER(TRIM(Raw_Data!D136))</f>
        <v>North</v>
      </c>
      <c r="F136" s="2" t="str">
        <f>PROPER(TRIM(Raw_Data!E136))</f>
        <v>Electronics</v>
      </c>
      <c r="G136" s="2" t="str">
        <f>PROPER(TRIM(Raw_Data!F136))</f>
        <v>Laptops</v>
      </c>
      <c r="H136" s="2" t="str">
        <f>Raw_Data!G136</f>
        <v>UltraSlim X1</v>
      </c>
      <c r="I136" s="2">
        <f>Raw_Data!H136</f>
        <v>3</v>
      </c>
      <c r="J136" s="4">
        <f>Raw_Data!I136</f>
        <v>65690.91</v>
      </c>
      <c r="K136" s="4">
        <f>Raw_Data!J136</f>
        <v>39414.550000000003</v>
      </c>
      <c r="L136" s="5">
        <f>IF(Raw_Data!K136="",0,Raw_Data!K136)</f>
        <v>0</v>
      </c>
      <c r="M136" s="4">
        <f t="shared" si="9"/>
        <v>197072.73</v>
      </c>
      <c r="N136" s="4">
        <f t="shared" si="10"/>
        <v>78829.08</v>
      </c>
      <c r="O136" s="6">
        <f t="shared" si="11"/>
        <v>0.39999993910877468</v>
      </c>
    </row>
    <row r="137" spans="1:15" ht="15" customHeight="1" x14ac:dyDescent="0.3">
      <c r="A137" s="2">
        <f>Raw_Data!A137</f>
        <v>100136</v>
      </c>
      <c r="B137" s="3" t="e">
        <f>DATEVALUE(Raw_Data!B137)</f>
        <v>#VALUE!</v>
      </c>
      <c r="C137" s="2" t="e">
        <f t="shared" si="8"/>
        <v>#VALUE!</v>
      </c>
      <c r="D137" s="2" t="str">
        <f>PROPER(TRIM(Raw_Data!C137))</f>
        <v>Rahul Mehta</v>
      </c>
      <c r="E137" s="2" t="str">
        <f>PROPER(TRIM(Raw_Data!D137))</f>
        <v>West</v>
      </c>
      <c r="F137" s="2" t="str">
        <f>PROPER(TRIM(Raw_Data!E137))</f>
        <v>Electronics</v>
      </c>
      <c r="G137" s="2" t="str">
        <f>PROPER(TRIM(Raw_Data!F137))</f>
        <v>Laptops</v>
      </c>
      <c r="H137" s="2" t="str">
        <f>Raw_Data!G137</f>
        <v>EcoBook Air</v>
      </c>
      <c r="I137" s="2">
        <f>Raw_Data!H137</f>
        <v>9</v>
      </c>
      <c r="J137" s="4">
        <f>Raw_Data!I137</f>
        <v>38132.01</v>
      </c>
      <c r="K137" s="4">
        <f>Raw_Data!J137</f>
        <v>25929.77</v>
      </c>
      <c r="L137" s="5">
        <f>IF(Raw_Data!K137="",0,Raw_Data!K137)</f>
        <v>0</v>
      </c>
      <c r="M137" s="4">
        <f t="shared" si="9"/>
        <v>343188.09</v>
      </c>
      <c r="N137" s="4">
        <f t="shared" si="10"/>
        <v>109820.16</v>
      </c>
      <c r="O137" s="6">
        <f t="shared" si="11"/>
        <v>0.31999991608100387</v>
      </c>
    </row>
    <row r="138" spans="1:15" ht="15" customHeight="1" x14ac:dyDescent="0.3">
      <c r="A138" s="2">
        <f>Raw_Data!A138</f>
        <v>100137</v>
      </c>
      <c r="B138" s="3">
        <f>DATEVALUE(Raw_Data!B138)</f>
        <v>45541</v>
      </c>
      <c r="C138" s="2" t="str">
        <f t="shared" si="8"/>
        <v>Sep-2024</v>
      </c>
      <c r="D138" s="2" t="str">
        <f>PROPER(TRIM(Raw_Data!C138))</f>
        <v>Aditya Chopra</v>
      </c>
      <c r="E138" s="2" t="str">
        <f>PROPER(TRIM(Raw_Data!D138))</f>
        <v>North</v>
      </c>
      <c r="F138" s="2" t="str">
        <f>PROPER(TRIM(Raw_Data!E138))</f>
        <v>Furniture</v>
      </c>
      <c r="G138" s="2" t="str">
        <f>PROPER(TRIM(Raw_Data!F138))</f>
        <v>Desks</v>
      </c>
      <c r="H138" s="2" t="str">
        <f>Raw_Data!G138</f>
        <v>StudyMax L</v>
      </c>
      <c r="I138" s="2">
        <f>Raw_Data!H138</f>
        <v>10</v>
      </c>
      <c r="J138" s="4">
        <f>Raw_Data!I138</f>
        <v>6314.32</v>
      </c>
      <c r="K138" s="4">
        <f>Raw_Data!J138</f>
        <v>3788.59</v>
      </c>
      <c r="L138" s="5">
        <f>IF(Raw_Data!K138="",0,Raw_Data!K138)</f>
        <v>0.2</v>
      </c>
      <c r="M138" s="4">
        <f t="shared" si="9"/>
        <v>50514.559999999998</v>
      </c>
      <c r="N138" s="4">
        <f t="shared" si="10"/>
        <v>12628.66</v>
      </c>
      <c r="O138" s="6">
        <f t="shared" si="11"/>
        <v>0.25000039592545198</v>
      </c>
    </row>
    <row r="139" spans="1:15" ht="15" customHeight="1" x14ac:dyDescent="0.3">
      <c r="A139" s="2">
        <f>Raw_Data!A139</f>
        <v>100138</v>
      </c>
      <c r="B139" s="3">
        <f>DATEVALUE(Raw_Data!B139)</f>
        <v>45312</v>
      </c>
      <c r="C139" s="2" t="str">
        <f t="shared" si="8"/>
        <v>Jan-2024</v>
      </c>
      <c r="D139" s="2" t="str">
        <f>PROPER(TRIM(Raw_Data!C139))</f>
        <v>Karan Reddy</v>
      </c>
      <c r="E139" s="2" t="str">
        <f>PROPER(TRIM(Raw_Data!D139))</f>
        <v>North</v>
      </c>
      <c r="F139" s="2" t="str">
        <f>PROPER(TRIM(Raw_Data!E139))</f>
        <v>Electronics</v>
      </c>
      <c r="G139" s="2" t="str">
        <f>PROPER(TRIM(Raw_Data!F139))</f>
        <v>Laptops</v>
      </c>
      <c r="H139" s="2" t="str">
        <f>Raw_Data!G139</f>
        <v>UltraSlim X1</v>
      </c>
      <c r="I139" s="2">
        <f>Raw_Data!H139</f>
        <v>7</v>
      </c>
      <c r="J139" s="4">
        <f>Raw_Data!I139</f>
        <v>61939.99</v>
      </c>
      <c r="K139" s="4">
        <f>Raw_Data!J139</f>
        <v>37163.99</v>
      </c>
      <c r="L139" s="5">
        <f>IF(Raw_Data!K139="",0,Raw_Data!K139)</f>
        <v>0.1</v>
      </c>
      <c r="M139" s="4">
        <f t="shared" si="9"/>
        <v>390221.94</v>
      </c>
      <c r="N139" s="4">
        <f t="shared" si="10"/>
        <v>130074.01</v>
      </c>
      <c r="O139" s="6">
        <f t="shared" si="11"/>
        <v>0.33333341021266</v>
      </c>
    </row>
    <row r="140" spans="1:15" ht="15" customHeight="1" x14ac:dyDescent="0.3">
      <c r="A140" s="2">
        <f>Raw_Data!A140</f>
        <v>100139</v>
      </c>
      <c r="B140" s="3" t="e">
        <f>DATEVALUE(Raw_Data!B140)</f>
        <v>#VALUE!</v>
      </c>
      <c r="C140" s="2" t="e">
        <f t="shared" si="8"/>
        <v>#VALUE!</v>
      </c>
      <c r="D140" s="2" t="str">
        <f>PROPER(TRIM(Raw_Data!C140))</f>
        <v>Pranav Shah</v>
      </c>
      <c r="E140" s="2" t="str">
        <f>PROPER(TRIM(Raw_Data!D140))</f>
        <v>North</v>
      </c>
      <c r="F140" s="2" t="str">
        <f>PROPER(TRIM(Raw_Data!E140))</f>
        <v>Furniture</v>
      </c>
      <c r="G140" s="2" t="str">
        <f>PROPER(TRIM(Raw_Data!F140))</f>
        <v>Desks</v>
      </c>
      <c r="H140" s="2" t="str">
        <f>Raw_Data!G140</f>
        <v>CompactWork</v>
      </c>
      <c r="I140" s="2">
        <f>Raw_Data!H140</f>
        <v>10</v>
      </c>
      <c r="J140" s="4">
        <f>Raw_Data!I140</f>
        <v>4148.4399999999996</v>
      </c>
      <c r="K140" s="4">
        <f>Raw_Data!J140</f>
        <v>2696.49</v>
      </c>
      <c r="L140" s="5">
        <f>IF(Raw_Data!K140="",0,Raw_Data!K140)</f>
        <v>0</v>
      </c>
      <c r="M140" s="4">
        <f t="shared" si="9"/>
        <v>41484.400000000001</v>
      </c>
      <c r="N140" s="4">
        <f t="shared" si="10"/>
        <v>14519.5</v>
      </c>
      <c r="O140" s="6">
        <f t="shared" si="11"/>
        <v>0.34999903578212532</v>
      </c>
    </row>
    <row r="141" spans="1:15" ht="15" customHeight="1" x14ac:dyDescent="0.3">
      <c r="A141" s="2">
        <f>Raw_Data!A141</f>
        <v>100140</v>
      </c>
      <c r="B141" s="3" t="e">
        <f>DATEVALUE(Raw_Data!B141)</f>
        <v>#VALUE!</v>
      </c>
      <c r="C141" s="2" t="e">
        <f t="shared" si="8"/>
        <v>#VALUE!</v>
      </c>
      <c r="D141" s="2" t="str">
        <f>PROPER(TRIM(Raw_Data!C141))</f>
        <v>Myra Patel</v>
      </c>
      <c r="E141" s="2" t="str">
        <f>PROPER(TRIM(Raw_Data!D141))</f>
        <v>West</v>
      </c>
      <c r="F141" s="2" t="str">
        <f>PROPER(TRIM(Raw_Data!E141))</f>
        <v>Electronics</v>
      </c>
      <c r="G141" s="2" t="str">
        <f>PROPER(TRIM(Raw_Data!F141))</f>
        <v>Monitors</v>
      </c>
      <c r="H141" s="2" t="str">
        <f>Raw_Data!G141</f>
        <v>ViewClear 24</v>
      </c>
      <c r="I141" s="2">
        <f>Raw_Data!H141</f>
        <v>10</v>
      </c>
      <c r="J141" s="4">
        <f>Raw_Data!I141</f>
        <v>9321.98</v>
      </c>
      <c r="K141" s="4">
        <f>Raw_Data!J141</f>
        <v>5779.63</v>
      </c>
      <c r="L141" s="5">
        <f>IF(Raw_Data!K141="",0,Raw_Data!K141)</f>
        <v>0.2</v>
      </c>
      <c r="M141" s="4">
        <f t="shared" si="9"/>
        <v>74575.839999999997</v>
      </c>
      <c r="N141" s="4">
        <f t="shared" si="10"/>
        <v>16779.54</v>
      </c>
      <c r="O141" s="6">
        <f t="shared" si="11"/>
        <v>0.2249996781799575</v>
      </c>
    </row>
    <row r="142" spans="1:15" ht="15" customHeight="1" x14ac:dyDescent="0.3">
      <c r="A142" s="2">
        <f>Raw_Data!A142</f>
        <v>100141</v>
      </c>
      <c r="B142" s="3">
        <f>DATEVALUE(Raw_Data!B142)</f>
        <v>45297</v>
      </c>
      <c r="C142" s="2" t="str">
        <f t="shared" si="8"/>
        <v>Jan-2024</v>
      </c>
      <c r="D142" s="2" t="str">
        <f>PROPER(TRIM(Raw_Data!C142))</f>
        <v>Nikhil Bose</v>
      </c>
      <c r="E142" s="2" t="str">
        <f>PROPER(TRIM(Raw_Data!D142))</f>
        <v>South</v>
      </c>
      <c r="F142" s="2" t="str">
        <f>PROPER(TRIM(Raw_Data!E142))</f>
        <v>Electronics</v>
      </c>
      <c r="G142" s="2" t="str">
        <f>PROPER(TRIM(Raw_Data!F142))</f>
        <v>Monitors</v>
      </c>
      <c r="H142" s="2" t="str">
        <f>Raw_Data!G142</f>
        <v>CurveTech 32</v>
      </c>
      <c r="I142" s="2">
        <f>Raw_Data!H142</f>
        <v>10</v>
      </c>
      <c r="J142" s="4">
        <f>Raw_Data!I142</f>
        <v>22556.76</v>
      </c>
      <c r="K142" s="4">
        <f>Raw_Data!J142</f>
        <v>13082.92</v>
      </c>
      <c r="L142" s="5">
        <f>IF(Raw_Data!K142="",0,Raw_Data!K142)</f>
        <v>0.1</v>
      </c>
      <c r="M142" s="4">
        <f t="shared" si="9"/>
        <v>203010.84</v>
      </c>
      <c r="N142" s="4">
        <f t="shared" si="10"/>
        <v>72181.64</v>
      </c>
      <c r="O142" s="6">
        <f t="shared" si="11"/>
        <v>0.35555559496231826</v>
      </c>
    </row>
    <row r="143" spans="1:15" ht="15" customHeight="1" x14ac:dyDescent="0.3">
      <c r="A143" s="2">
        <f>Raw_Data!A143</f>
        <v>100142</v>
      </c>
      <c r="B143" s="3">
        <f>DATEVALUE(Raw_Data!B143)</f>
        <v>45652</v>
      </c>
      <c r="C143" s="2" t="str">
        <f t="shared" si="8"/>
        <v>Dec-2024</v>
      </c>
      <c r="D143" s="2" t="str">
        <f>PROPER(TRIM(Raw_Data!C143))</f>
        <v>Tanvi Malhotra</v>
      </c>
      <c r="E143" s="2" t="str">
        <f>PROPER(TRIM(Raw_Data!D143))</f>
        <v>North</v>
      </c>
      <c r="F143" s="2" t="str">
        <f>PROPER(TRIM(Raw_Data!E143))</f>
        <v>Office Supplies</v>
      </c>
      <c r="G143" s="2" t="str">
        <f>PROPER(TRIM(Raw_Data!F143))</f>
        <v>Pens</v>
      </c>
      <c r="H143" s="2" t="str">
        <f>Raw_Data!G143</f>
        <v>WriteSmooth Pack10</v>
      </c>
      <c r="I143" s="2">
        <f>Raw_Data!H143</f>
        <v>2</v>
      </c>
      <c r="J143" s="4">
        <f>Raw_Data!I143</f>
        <v>147.72999999999999</v>
      </c>
      <c r="K143" s="4">
        <f>Raw_Data!J143</f>
        <v>66.48</v>
      </c>
      <c r="L143" s="5">
        <f>IF(Raw_Data!K143="",0,Raw_Data!K143)</f>
        <v>0.1</v>
      </c>
      <c r="M143" s="4">
        <f t="shared" si="9"/>
        <v>265.91000000000003</v>
      </c>
      <c r="N143" s="4">
        <f t="shared" si="10"/>
        <v>132.94999999999999</v>
      </c>
      <c r="O143" s="6">
        <f t="shared" si="11"/>
        <v>0.49998119664548146</v>
      </c>
    </row>
    <row r="144" spans="1:15" ht="15" customHeight="1" x14ac:dyDescent="0.3">
      <c r="A144" s="2">
        <f>Raw_Data!A144</f>
        <v>100143</v>
      </c>
      <c r="B144" s="3">
        <f>DATEVALUE(Raw_Data!B144)</f>
        <v>45477</v>
      </c>
      <c r="C144" s="2" t="str">
        <f t="shared" si="8"/>
        <v>Jul-2024</v>
      </c>
      <c r="D144" s="2" t="str">
        <f>PROPER(TRIM(Raw_Data!C144))</f>
        <v>Aditya Chopra</v>
      </c>
      <c r="E144" s="2" t="str">
        <f>PROPER(TRIM(Raw_Data!D144))</f>
        <v>South</v>
      </c>
      <c r="F144" s="2" t="str">
        <f>PROPER(TRIM(Raw_Data!E144))</f>
        <v>Electronics</v>
      </c>
      <c r="G144" s="2" t="str">
        <f>PROPER(TRIM(Raw_Data!F144))</f>
        <v>Headphones</v>
      </c>
      <c r="H144" s="2" t="str">
        <f>Raw_Data!G144</f>
        <v>BassBeat Mini</v>
      </c>
      <c r="I144" s="2">
        <f>Raw_Data!H144</f>
        <v>8</v>
      </c>
      <c r="J144" s="4">
        <f>Raw_Data!I144</f>
        <v>1226.8900000000001</v>
      </c>
      <c r="K144" s="4">
        <f>Raw_Data!J144</f>
        <v>736.13</v>
      </c>
      <c r="L144" s="5">
        <f>IF(Raw_Data!K144="",0,Raw_Data!K144)</f>
        <v>0.1</v>
      </c>
      <c r="M144" s="4">
        <f t="shared" si="9"/>
        <v>8833.61</v>
      </c>
      <c r="N144" s="4">
        <f t="shared" si="10"/>
        <v>2944.57</v>
      </c>
      <c r="O144" s="6">
        <f t="shared" si="11"/>
        <v>0.33333710680005119</v>
      </c>
    </row>
    <row r="145" spans="1:15" ht="15" customHeight="1" x14ac:dyDescent="0.3">
      <c r="A145" s="2">
        <f>Raw_Data!A145</f>
        <v>100144</v>
      </c>
      <c r="B145" s="3">
        <f>DATEVALUE(Raw_Data!B145)</f>
        <v>45540</v>
      </c>
      <c r="C145" s="2" t="str">
        <f t="shared" si="8"/>
        <v>Sep-2024</v>
      </c>
      <c r="D145" s="2" t="str">
        <f>PROPER(TRIM(Raw_Data!C145))</f>
        <v>Kabir Gupta</v>
      </c>
      <c r="E145" s="2" t="str">
        <f>PROPER(TRIM(Raw_Data!D145))</f>
        <v>North</v>
      </c>
      <c r="F145" s="2" t="str">
        <f>PROPER(TRIM(Raw_Data!E145))</f>
        <v>Furniture</v>
      </c>
      <c r="G145" s="2" t="str">
        <f>PROPER(TRIM(Raw_Data!F145))</f>
        <v>Desks</v>
      </c>
      <c r="H145" s="2" t="str">
        <f>Raw_Data!G145</f>
        <v>CompactWork</v>
      </c>
      <c r="I145" s="2">
        <f>Raw_Data!H145</f>
        <v>7</v>
      </c>
      <c r="J145" s="4">
        <f>Raw_Data!I145</f>
        <v>3985.34</v>
      </c>
      <c r="K145" s="4">
        <f>Raw_Data!J145</f>
        <v>2590.4699999999998</v>
      </c>
      <c r="L145" s="5">
        <f>IF(Raw_Data!K145="",0,Raw_Data!K145)</f>
        <v>0.05</v>
      </c>
      <c r="M145" s="4">
        <f t="shared" si="9"/>
        <v>26502.51</v>
      </c>
      <c r="N145" s="4">
        <f t="shared" si="10"/>
        <v>8369.2199999999993</v>
      </c>
      <c r="O145" s="6">
        <f t="shared" si="11"/>
        <v>0.31578971199331685</v>
      </c>
    </row>
    <row r="146" spans="1:15" ht="15" customHeight="1" x14ac:dyDescent="0.3">
      <c r="A146" s="2">
        <f>Raw_Data!A146</f>
        <v>100145</v>
      </c>
      <c r="B146" s="3" t="e">
        <f>DATEVALUE(Raw_Data!B146)</f>
        <v>#VALUE!</v>
      </c>
      <c r="C146" s="2" t="e">
        <f t="shared" si="8"/>
        <v>#VALUE!</v>
      </c>
      <c r="D146" s="2" t="str">
        <f>PROPER(TRIM(Raw_Data!C146))</f>
        <v>Nikhil Kapoor</v>
      </c>
      <c r="E146" s="2" t="str">
        <f>PROPER(TRIM(Raw_Data!D146))</f>
        <v>West</v>
      </c>
      <c r="F146" s="2" t="str">
        <f>PROPER(TRIM(Raw_Data!E146))</f>
        <v>Furniture</v>
      </c>
      <c r="G146" s="2" t="str">
        <f>PROPER(TRIM(Raw_Data!F146))</f>
        <v>Cabinets</v>
      </c>
      <c r="H146" s="2" t="str">
        <f>Raw_Data!G146</f>
        <v>FileSafe Steel</v>
      </c>
      <c r="I146" s="2">
        <f>Raw_Data!H146</f>
        <v>3</v>
      </c>
      <c r="J146" s="4">
        <f>Raw_Data!I146</f>
        <v>5541.79</v>
      </c>
      <c r="K146" s="4">
        <f>Raw_Data!J146</f>
        <v>3325.07</v>
      </c>
      <c r="L146" s="5">
        <f>IF(Raw_Data!K146="",0,Raw_Data!K146)</f>
        <v>0.1</v>
      </c>
      <c r="M146" s="4">
        <f t="shared" si="9"/>
        <v>14962.83</v>
      </c>
      <c r="N146" s="4">
        <f t="shared" si="10"/>
        <v>4987.62</v>
      </c>
      <c r="O146" s="6">
        <f t="shared" si="11"/>
        <v>0.33333400165610383</v>
      </c>
    </row>
    <row r="147" spans="1:15" ht="15" customHeight="1" x14ac:dyDescent="0.3">
      <c r="A147" s="2">
        <f>Raw_Data!A147</f>
        <v>100146</v>
      </c>
      <c r="B147" s="3" t="e">
        <f>DATEVALUE(Raw_Data!B147)</f>
        <v>#VALUE!</v>
      </c>
      <c r="C147" s="2" t="e">
        <f t="shared" si="8"/>
        <v>#VALUE!</v>
      </c>
      <c r="D147" s="2" t="str">
        <f>PROPER(TRIM(Raw_Data!C147))</f>
        <v>Vikram Nair</v>
      </c>
      <c r="E147" s="2" t="str">
        <f>PROPER(TRIM(Raw_Data!D147))</f>
        <v>South</v>
      </c>
      <c r="F147" s="2" t="str">
        <f>PROPER(TRIM(Raw_Data!E147))</f>
        <v>Clothing</v>
      </c>
      <c r="G147" s="2" t="str">
        <f>PROPER(TRIM(Raw_Data!F147))</f>
        <v>Shoes</v>
      </c>
      <c r="H147" s="2" t="str">
        <f>Raw_Data!G147</f>
        <v>WalkEase Casual</v>
      </c>
      <c r="I147" s="2">
        <f>Raw_Data!H147</f>
        <v>7</v>
      </c>
      <c r="J147" s="4">
        <f>Raw_Data!I147</f>
        <v>2044.28</v>
      </c>
      <c r="K147" s="4">
        <f>Raw_Data!J147</f>
        <v>1022.14</v>
      </c>
      <c r="L147" s="5">
        <f>IF(Raw_Data!K147="",0,Raw_Data!K147)</f>
        <v>0.05</v>
      </c>
      <c r="M147" s="4">
        <f t="shared" si="9"/>
        <v>13594.46</v>
      </c>
      <c r="N147" s="4">
        <f t="shared" si="10"/>
        <v>6439.48</v>
      </c>
      <c r="O147" s="6">
        <f t="shared" si="11"/>
        <v>0.47368413309539326</v>
      </c>
    </row>
    <row r="148" spans="1:15" ht="15" customHeight="1" x14ac:dyDescent="0.3">
      <c r="A148" s="2">
        <f>Raw_Data!A148</f>
        <v>100147</v>
      </c>
      <c r="B148" s="3">
        <f>DATEVALUE(Raw_Data!B148)</f>
        <v>45363</v>
      </c>
      <c r="C148" s="2" t="str">
        <f t="shared" si="8"/>
        <v>Mar-2024</v>
      </c>
      <c r="D148" s="2" t="str">
        <f>PROPER(TRIM(Raw_Data!C148))</f>
        <v>Priya Das</v>
      </c>
      <c r="E148" s="2" t="str">
        <f>PROPER(TRIM(Raw_Data!D148))</f>
        <v>South</v>
      </c>
      <c r="F148" s="2" t="str">
        <f>PROPER(TRIM(Raw_Data!E148))</f>
        <v>Electronics</v>
      </c>
      <c r="G148" s="2" t="str">
        <f>PROPER(TRIM(Raw_Data!F148))</f>
        <v>Keyboards</v>
      </c>
      <c r="H148" s="2" t="str">
        <f>Raw_Data!G148</f>
        <v>GamerEdge RGB</v>
      </c>
      <c r="I148" s="2">
        <f>Raw_Data!H148</f>
        <v>4</v>
      </c>
      <c r="J148" s="4">
        <f>Raw_Data!I148</f>
        <v>3121.7</v>
      </c>
      <c r="K148" s="4">
        <f>Raw_Data!J148</f>
        <v>1560.85</v>
      </c>
      <c r="L148" s="5">
        <f>IF(Raw_Data!K148="",0,Raw_Data!K148)</f>
        <v>0.05</v>
      </c>
      <c r="M148" s="4">
        <f t="shared" si="9"/>
        <v>11862.46</v>
      </c>
      <c r="N148" s="4">
        <f t="shared" si="10"/>
        <v>5619.06</v>
      </c>
      <c r="O148" s="6">
        <f t="shared" si="11"/>
        <v>0.47368421052631587</v>
      </c>
    </row>
    <row r="149" spans="1:15" ht="15" customHeight="1" x14ac:dyDescent="0.3">
      <c r="A149" s="2">
        <f>Raw_Data!A149</f>
        <v>100148</v>
      </c>
      <c r="B149" s="3">
        <f>DATEVALUE(Raw_Data!B149)</f>
        <v>45655</v>
      </c>
      <c r="C149" s="2" t="str">
        <f t="shared" si="8"/>
        <v>Dec-2024</v>
      </c>
      <c r="D149" s="2" t="str">
        <f>PROPER(TRIM(Raw_Data!C149))</f>
        <v>Ishaan Nair</v>
      </c>
      <c r="E149" s="2" t="str">
        <f>PROPER(TRIM(Raw_Data!D149))</f>
        <v>West</v>
      </c>
      <c r="F149" s="2" t="str">
        <f>PROPER(TRIM(Raw_Data!E149))</f>
        <v>Clothing</v>
      </c>
      <c r="G149" s="2" t="str">
        <f>PROPER(TRIM(Raw_Data!F149))</f>
        <v>Bags</v>
      </c>
      <c r="H149" s="2" t="str">
        <f>Raw_Data!G149</f>
        <v>TravelMax Duffel</v>
      </c>
      <c r="I149" s="2">
        <f>Raw_Data!H149</f>
        <v>9</v>
      </c>
      <c r="J149" s="4">
        <f>Raw_Data!I149</f>
        <v>1718.6</v>
      </c>
      <c r="K149" s="4">
        <f>Raw_Data!J149</f>
        <v>859.3</v>
      </c>
      <c r="L149" s="5">
        <f>IF(Raw_Data!K149="",0,Raw_Data!K149)</f>
        <v>0.05</v>
      </c>
      <c r="M149" s="4">
        <f t="shared" si="9"/>
        <v>14694.03</v>
      </c>
      <c r="N149" s="4">
        <f t="shared" si="10"/>
        <v>6960.33</v>
      </c>
      <c r="O149" s="6">
        <f t="shared" si="11"/>
        <v>0.47368421052631576</v>
      </c>
    </row>
    <row r="150" spans="1:15" ht="15" customHeight="1" x14ac:dyDescent="0.3">
      <c r="A150" s="2">
        <f>Raw_Data!A150</f>
        <v>100149</v>
      </c>
      <c r="B150" s="3">
        <f>DATEVALUE(Raw_Data!B150)</f>
        <v>45559</v>
      </c>
      <c r="C150" s="2" t="str">
        <f t="shared" si="8"/>
        <v>Sep-2024</v>
      </c>
      <c r="D150" s="2" t="str">
        <f>PROPER(TRIM(Raw_Data!C150))</f>
        <v>Kiara Chopra</v>
      </c>
      <c r="E150" s="2" t="str">
        <f>PROPER(TRIM(Raw_Data!D150))</f>
        <v>West</v>
      </c>
      <c r="F150" s="2" t="str">
        <f>PROPER(TRIM(Raw_Data!E150))</f>
        <v>Office Supplies</v>
      </c>
      <c r="G150" s="2" t="str">
        <f>PROPER(TRIM(Raw_Data!F150))</f>
        <v>Binders</v>
      </c>
      <c r="H150" s="2" t="str">
        <f>Raw_Data!G150</f>
        <v>RingFile A4</v>
      </c>
      <c r="I150" s="2">
        <f>Raw_Data!H150</f>
        <v>1</v>
      </c>
      <c r="J150" s="4">
        <f>Raw_Data!I150</f>
        <v>173.31</v>
      </c>
      <c r="K150" s="4">
        <f>Raw_Data!J150</f>
        <v>83.19</v>
      </c>
      <c r="L150" s="5">
        <f>IF(Raw_Data!K150="",0,Raw_Data!K150)</f>
        <v>0</v>
      </c>
      <c r="M150" s="4">
        <f t="shared" si="9"/>
        <v>173.31</v>
      </c>
      <c r="N150" s="4">
        <f t="shared" si="10"/>
        <v>90.12</v>
      </c>
      <c r="O150" s="6">
        <f t="shared" si="11"/>
        <v>0.51999307599099875</v>
      </c>
    </row>
    <row r="151" spans="1:15" ht="15" customHeight="1" x14ac:dyDescent="0.3">
      <c r="A151" s="2">
        <f>Raw_Data!A151</f>
        <v>100150</v>
      </c>
      <c r="B151" s="3">
        <f>DATEVALUE(Raw_Data!B151)</f>
        <v>45629</v>
      </c>
      <c r="C151" s="2" t="str">
        <f t="shared" si="8"/>
        <v>Dec-2024</v>
      </c>
      <c r="D151" s="2" t="str">
        <f>PROPER(TRIM(Raw_Data!C151))</f>
        <v>Diya Bose</v>
      </c>
      <c r="E151" s="2" t="str">
        <f>PROPER(TRIM(Raw_Data!D151))</f>
        <v>North</v>
      </c>
      <c r="F151" s="2" t="str">
        <f>PROPER(TRIM(Raw_Data!E151))</f>
        <v>Office Supplies</v>
      </c>
      <c r="G151" s="2" t="str">
        <f>PROPER(TRIM(Raw_Data!F151))</f>
        <v>Binders</v>
      </c>
      <c r="H151" s="2" t="str">
        <f>Raw_Data!G151</f>
        <v>RingFile A4</v>
      </c>
      <c r="I151" s="2">
        <f>Raw_Data!H151</f>
        <v>2</v>
      </c>
      <c r="J151" s="4">
        <f>Raw_Data!I151</f>
        <v>190.45</v>
      </c>
      <c r="K151" s="4">
        <f>Raw_Data!J151</f>
        <v>91.42</v>
      </c>
      <c r="L151" s="5">
        <f>IF(Raw_Data!K151="",0,Raw_Data!K151)</f>
        <v>0.15</v>
      </c>
      <c r="M151" s="4">
        <f t="shared" si="9"/>
        <v>323.77</v>
      </c>
      <c r="N151" s="4">
        <f t="shared" si="10"/>
        <v>140.93</v>
      </c>
      <c r="O151" s="6">
        <f t="shared" si="11"/>
        <v>0.43527812953639933</v>
      </c>
    </row>
    <row r="152" spans="1:15" ht="15" customHeight="1" x14ac:dyDescent="0.3">
      <c r="A152" s="2">
        <f>Raw_Data!A152</f>
        <v>100151</v>
      </c>
      <c r="B152" s="3">
        <f>DATEVALUE(Raw_Data!B152)</f>
        <v>45344</v>
      </c>
      <c r="C152" s="2" t="str">
        <f t="shared" si="8"/>
        <v>Feb-2024</v>
      </c>
      <c r="D152" s="2" t="str">
        <f>PROPER(TRIM(Raw_Data!C152))</f>
        <v>Meera Nair</v>
      </c>
      <c r="E152" s="2" t="str">
        <f>PROPER(TRIM(Raw_Data!D152))</f>
        <v>North</v>
      </c>
      <c r="F152" s="2" t="str">
        <f>PROPER(TRIM(Raw_Data!E152))</f>
        <v>Office Supplies</v>
      </c>
      <c r="G152" s="2" t="str">
        <f>PROPER(TRIM(Raw_Data!F152))</f>
        <v>Paper</v>
      </c>
      <c r="H152" s="2" t="str">
        <f>Raw_Data!G152</f>
        <v>PrintPro A4 Ream</v>
      </c>
      <c r="I152" s="2">
        <f>Raw_Data!H152</f>
        <v>1</v>
      </c>
      <c r="J152" s="4">
        <f>Raw_Data!I152</f>
        <v>296.91000000000003</v>
      </c>
      <c r="K152" s="4">
        <f>Raw_Data!J152</f>
        <v>148.46</v>
      </c>
      <c r="L152" s="5">
        <f>IF(Raw_Data!K152="",0,Raw_Data!K152)</f>
        <v>0.15</v>
      </c>
      <c r="M152" s="4">
        <f t="shared" si="9"/>
        <v>252.37</v>
      </c>
      <c r="N152" s="4">
        <f t="shared" si="10"/>
        <v>103.91</v>
      </c>
      <c r="O152" s="6">
        <f t="shared" si="11"/>
        <v>0.41173673574513608</v>
      </c>
    </row>
    <row r="153" spans="1:15" ht="15" customHeight="1" x14ac:dyDescent="0.3">
      <c r="A153" s="2">
        <f>Raw_Data!A153</f>
        <v>100152</v>
      </c>
      <c r="B153" s="3" t="e">
        <f>DATEVALUE(Raw_Data!B153)</f>
        <v>#VALUE!</v>
      </c>
      <c r="C153" s="2" t="e">
        <f t="shared" si="8"/>
        <v>#VALUE!</v>
      </c>
      <c r="D153" s="2" t="str">
        <f>PROPER(TRIM(Raw_Data!C153))</f>
        <v>Myra Sharma</v>
      </c>
      <c r="E153" s="2" t="str">
        <f>PROPER(TRIM(Raw_Data!D153))</f>
        <v>South</v>
      </c>
      <c r="F153" s="2" t="str">
        <f>PROPER(TRIM(Raw_Data!E153))</f>
        <v>Furniture</v>
      </c>
      <c r="G153" s="2" t="str">
        <f>PROPER(TRIM(Raw_Data!F153))</f>
        <v>Cabinets</v>
      </c>
      <c r="H153" s="2" t="str">
        <f>Raw_Data!G153</f>
        <v>StorageMax Wood</v>
      </c>
      <c r="I153" s="2">
        <f>Raw_Data!H153</f>
        <v>1</v>
      </c>
      <c r="J153" s="4">
        <f>Raw_Data!I153</f>
        <v>4915.54</v>
      </c>
      <c r="K153" s="4">
        <f>Raw_Data!J153</f>
        <v>3096.79</v>
      </c>
      <c r="L153" s="5">
        <f>IF(Raw_Data!K153="",0,Raw_Data!K153)</f>
        <v>0</v>
      </c>
      <c r="M153" s="4">
        <f t="shared" si="9"/>
        <v>4915.54</v>
      </c>
      <c r="N153" s="4">
        <f t="shared" si="10"/>
        <v>1818.75</v>
      </c>
      <c r="O153" s="6">
        <f t="shared" si="11"/>
        <v>0.3700000406872897</v>
      </c>
    </row>
    <row r="154" spans="1:15" ht="15" customHeight="1" x14ac:dyDescent="0.3">
      <c r="A154" s="2">
        <f>Raw_Data!A154</f>
        <v>100153</v>
      </c>
      <c r="B154" s="3" t="e">
        <f>DATEVALUE(Raw_Data!B154)</f>
        <v>#VALUE!</v>
      </c>
      <c r="C154" s="2" t="e">
        <f t="shared" si="8"/>
        <v>#VALUE!</v>
      </c>
      <c r="D154" s="2" t="str">
        <f>PROPER(TRIM(Raw_Data!C154))</f>
        <v>Sneha Malhotra</v>
      </c>
      <c r="E154" s="2" t="str">
        <f>PROPER(TRIM(Raw_Data!D154))</f>
        <v>South</v>
      </c>
      <c r="F154" s="2" t="str">
        <f>PROPER(TRIM(Raw_Data!E154))</f>
        <v>Office Supplies</v>
      </c>
      <c r="G154" s="2" t="str">
        <f>PROPER(TRIM(Raw_Data!F154))</f>
        <v>Staplers</v>
      </c>
      <c r="H154" s="2" t="str">
        <f>Raw_Data!G154</f>
        <v>ClickFix Standard</v>
      </c>
      <c r="I154" s="2">
        <f>Raw_Data!H154</f>
        <v>8</v>
      </c>
      <c r="J154" s="4">
        <f>Raw_Data!I154</f>
        <v>212.26</v>
      </c>
      <c r="K154" s="4">
        <f>Raw_Data!J154</f>
        <v>106.13</v>
      </c>
      <c r="L154" s="5">
        <f>IF(Raw_Data!K154="",0,Raw_Data!K154)</f>
        <v>0.15</v>
      </c>
      <c r="M154" s="4">
        <f t="shared" si="9"/>
        <v>1443.37</v>
      </c>
      <c r="N154" s="4">
        <f t="shared" si="10"/>
        <v>594.33000000000004</v>
      </c>
      <c r="O154" s="6">
        <f t="shared" si="11"/>
        <v>0.41176552096828956</v>
      </c>
    </row>
    <row r="155" spans="1:15" ht="15" customHeight="1" x14ac:dyDescent="0.3">
      <c r="A155" s="2">
        <f>Raw_Data!A155</f>
        <v>100154</v>
      </c>
      <c r="B155" s="3">
        <f>DATEVALUE(Raw_Data!B155)</f>
        <v>45363</v>
      </c>
      <c r="C155" s="2" t="str">
        <f t="shared" si="8"/>
        <v>Mar-2024</v>
      </c>
      <c r="D155" s="2" t="str">
        <f>PROPER(TRIM(Raw_Data!C155))</f>
        <v>Pooja Malhotra</v>
      </c>
      <c r="E155" s="2" t="str">
        <f>PROPER(TRIM(Raw_Data!D155))</f>
        <v>East</v>
      </c>
      <c r="F155" s="2" t="str">
        <f>PROPER(TRIM(Raw_Data!E155))</f>
        <v>Electronics</v>
      </c>
      <c r="G155" s="2" t="str">
        <f>PROPER(TRIM(Raw_Data!F155))</f>
        <v>Headphones</v>
      </c>
      <c r="H155" s="2" t="str">
        <f>Raw_Data!G155</f>
        <v>BassBeat Mini</v>
      </c>
      <c r="I155" s="2">
        <f>Raw_Data!H155</f>
        <v>2</v>
      </c>
      <c r="J155" s="4">
        <f>Raw_Data!I155</f>
        <v>1177.22</v>
      </c>
      <c r="K155" s="4">
        <f>Raw_Data!J155</f>
        <v>706.33</v>
      </c>
      <c r="L155" s="5">
        <f>IF(Raw_Data!K155="",0,Raw_Data!K155)</f>
        <v>0</v>
      </c>
      <c r="M155" s="4">
        <f t="shared" si="9"/>
        <v>2354.44</v>
      </c>
      <c r="N155" s="4">
        <f t="shared" si="10"/>
        <v>941.78</v>
      </c>
      <c r="O155" s="6">
        <f t="shared" si="11"/>
        <v>0.40000169891778936</v>
      </c>
    </row>
    <row r="156" spans="1:15" ht="15" customHeight="1" x14ac:dyDescent="0.3">
      <c r="A156" s="2">
        <f>Raw_Data!A156</f>
        <v>100155</v>
      </c>
      <c r="B156" s="3">
        <f>DATEVALUE(Raw_Data!B156)</f>
        <v>45524</v>
      </c>
      <c r="C156" s="2" t="str">
        <f t="shared" si="8"/>
        <v>Aug-2024</v>
      </c>
      <c r="D156" s="2" t="str">
        <f>PROPER(TRIM(Raw_Data!C156))</f>
        <v>Yash Chopra</v>
      </c>
      <c r="E156" s="2" t="str">
        <f>PROPER(TRIM(Raw_Data!D156))</f>
        <v>South</v>
      </c>
      <c r="F156" s="2" t="str">
        <f>PROPER(TRIM(Raw_Data!E156))</f>
        <v>Furniture</v>
      </c>
      <c r="G156" s="2" t="str">
        <f>PROPER(TRIM(Raw_Data!F156))</f>
        <v>Cabinets</v>
      </c>
      <c r="H156" s="2" t="str">
        <f>Raw_Data!G156</f>
        <v>StorageMax Wood</v>
      </c>
      <c r="I156" s="2">
        <f>Raw_Data!H156</f>
        <v>3</v>
      </c>
      <c r="J156" s="4">
        <f>Raw_Data!I156</f>
        <v>4579.32</v>
      </c>
      <c r="K156" s="4">
        <f>Raw_Data!J156</f>
        <v>2884.97</v>
      </c>
      <c r="L156" s="5">
        <f>IF(Raw_Data!K156="",0,Raw_Data!K156)</f>
        <v>0.2</v>
      </c>
      <c r="M156" s="4">
        <f t="shared" si="9"/>
        <v>10990.37</v>
      </c>
      <c r="N156" s="4">
        <f t="shared" si="10"/>
        <v>2335.46</v>
      </c>
      <c r="O156" s="6">
        <f t="shared" si="11"/>
        <v>0.2125005800532648</v>
      </c>
    </row>
    <row r="157" spans="1:15" ht="15" customHeight="1" x14ac:dyDescent="0.3">
      <c r="A157" s="2">
        <f>Raw_Data!A157</f>
        <v>100156</v>
      </c>
      <c r="B157" s="3">
        <f>DATEVALUE(Raw_Data!B157)</f>
        <v>45317</v>
      </c>
      <c r="C157" s="2" t="str">
        <f t="shared" si="8"/>
        <v>Jan-2024</v>
      </c>
      <c r="D157" s="2" t="str">
        <f>PROPER(TRIM(Raw_Data!C157))</f>
        <v>Ananya Verma</v>
      </c>
      <c r="E157" s="2" t="str">
        <f>PROPER(TRIM(Raw_Data!D157))</f>
        <v>West</v>
      </c>
      <c r="F157" s="2" t="str">
        <f>PROPER(TRIM(Raw_Data!E157))</f>
        <v>Clothing</v>
      </c>
      <c r="G157" s="2" t="str">
        <f>PROPER(TRIM(Raw_Data!F157))</f>
        <v>Bags</v>
      </c>
      <c r="H157" s="2" t="str">
        <f>Raw_Data!G157</f>
        <v>TravelMax Duffel</v>
      </c>
      <c r="I157" s="2">
        <f>Raw_Data!H157</f>
        <v>8</v>
      </c>
      <c r="J157" s="4">
        <f>Raw_Data!I157</f>
        <v>1749.14</v>
      </c>
      <c r="K157" s="4">
        <f>Raw_Data!J157</f>
        <v>874.57</v>
      </c>
      <c r="L157" s="5">
        <f>IF(Raw_Data!K157="",0,Raw_Data!K157)</f>
        <v>0.1</v>
      </c>
      <c r="M157" s="4">
        <f t="shared" si="9"/>
        <v>12593.81</v>
      </c>
      <c r="N157" s="4">
        <f t="shared" si="10"/>
        <v>5597.25</v>
      </c>
      <c r="O157" s="6">
        <f t="shared" si="11"/>
        <v>0.44444453267120915</v>
      </c>
    </row>
    <row r="158" spans="1:15" ht="15" customHeight="1" x14ac:dyDescent="0.3">
      <c r="A158" s="2">
        <f>Raw_Data!A158</f>
        <v>100157</v>
      </c>
      <c r="B158" s="3" t="e">
        <f>DATEVALUE(Raw_Data!B158)</f>
        <v>#VALUE!</v>
      </c>
      <c r="C158" s="2" t="e">
        <f t="shared" si="8"/>
        <v>#VALUE!</v>
      </c>
      <c r="D158" s="2" t="str">
        <f>PROPER(TRIM(Raw_Data!C158))</f>
        <v>Rahul Iyer</v>
      </c>
      <c r="E158" s="2" t="str">
        <f>PROPER(TRIM(Raw_Data!D158))</f>
        <v>North</v>
      </c>
      <c r="F158" s="2" t="str">
        <f>PROPER(TRIM(Raw_Data!E158))</f>
        <v>Electronics</v>
      </c>
      <c r="G158" s="2" t="str">
        <f>PROPER(TRIM(Raw_Data!F158))</f>
        <v>Monitors</v>
      </c>
      <c r="H158" s="2" t="str">
        <f>Raw_Data!G158</f>
        <v>CurveTech 32</v>
      </c>
      <c r="I158" s="2">
        <f>Raw_Data!H158</f>
        <v>6</v>
      </c>
      <c r="J158" s="4">
        <f>Raw_Data!I158</f>
        <v>21429.78</v>
      </c>
      <c r="K158" s="4">
        <f>Raw_Data!J158</f>
        <v>12429.27</v>
      </c>
      <c r="L158" s="5">
        <f>IF(Raw_Data!K158="",0,Raw_Data!K158)</f>
        <v>0.2</v>
      </c>
      <c r="M158" s="4">
        <f t="shared" si="9"/>
        <v>102862.94</v>
      </c>
      <c r="N158" s="4">
        <f t="shared" si="10"/>
        <v>28287.32</v>
      </c>
      <c r="O158" s="6">
        <f t="shared" si="11"/>
        <v>0.27500011179925443</v>
      </c>
    </row>
    <row r="159" spans="1:15" ht="15" customHeight="1" x14ac:dyDescent="0.3">
      <c r="A159" s="2">
        <f>Raw_Data!A159</f>
        <v>100158</v>
      </c>
      <c r="B159" s="3">
        <f>DATEVALUE(Raw_Data!B159)</f>
        <v>45477</v>
      </c>
      <c r="C159" s="2" t="str">
        <f t="shared" si="8"/>
        <v>Jul-2024</v>
      </c>
      <c r="D159" s="2" t="str">
        <f>PROPER(TRIM(Raw_Data!C159))</f>
        <v>Yash Bhatt</v>
      </c>
      <c r="E159" s="2" t="str">
        <f>PROPER(TRIM(Raw_Data!D159))</f>
        <v>West</v>
      </c>
      <c r="F159" s="2" t="str">
        <f>PROPER(TRIM(Raw_Data!E159))</f>
        <v>Office Supplies</v>
      </c>
      <c r="G159" s="2" t="str">
        <f>PROPER(TRIM(Raw_Data!F159))</f>
        <v>Staplers</v>
      </c>
      <c r="H159" s="2" t="str">
        <f>Raw_Data!G159</f>
        <v>ClickFix Standard</v>
      </c>
      <c r="I159" s="2">
        <f>Raw_Data!H159</f>
        <v>8</v>
      </c>
      <c r="J159" s="4">
        <f>Raw_Data!I159</f>
        <v>233.75</v>
      </c>
      <c r="K159" s="4">
        <f>Raw_Data!J159</f>
        <v>116.87</v>
      </c>
      <c r="L159" s="5">
        <f>IF(Raw_Data!K159="",0,Raw_Data!K159)</f>
        <v>0</v>
      </c>
      <c r="M159" s="4">
        <f t="shared" si="9"/>
        <v>1870</v>
      </c>
      <c r="N159" s="4">
        <f t="shared" si="10"/>
        <v>935.04</v>
      </c>
      <c r="O159" s="6">
        <f t="shared" si="11"/>
        <v>0.50002139037433158</v>
      </c>
    </row>
    <row r="160" spans="1:15" ht="15" customHeight="1" x14ac:dyDescent="0.3">
      <c r="A160" s="2">
        <f>Raw_Data!A160</f>
        <v>100159</v>
      </c>
      <c r="B160" s="3">
        <f>DATEVALUE(Raw_Data!B160)</f>
        <v>45443</v>
      </c>
      <c r="C160" s="2" t="str">
        <f t="shared" si="8"/>
        <v>May-2024</v>
      </c>
      <c r="D160" s="2" t="str">
        <f>PROPER(TRIM(Raw_Data!C160))</f>
        <v>Kabir Rao</v>
      </c>
      <c r="E160" s="2" t="str">
        <f>PROPER(TRIM(Raw_Data!D160))</f>
        <v>East</v>
      </c>
      <c r="F160" s="2" t="str">
        <f>PROPER(TRIM(Raw_Data!E160))</f>
        <v>Office Supplies</v>
      </c>
      <c r="G160" s="2" t="str">
        <f>PROPER(TRIM(Raw_Data!F160))</f>
        <v>Pens</v>
      </c>
      <c r="H160" s="2" t="str">
        <f>Raw_Data!G160</f>
        <v>InkFlow Gel Pack5</v>
      </c>
      <c r="I160" s="2">
        <f>Raw_Data!H160</f>
        <v>12</v>
      </c>
      <c r="J160" s="4">
        <f>Raw_Data!I160</f>
        <v>118.57</v>
      </c>
      <c r="K160" s="4">
        <f>Raw_Data!J160</f>
        <v>53.35</v>
      </c>
      <c r="L160" s="5">
        <f>IF(Raw_Data!K160="",0,Raw_Data!K160)</f>
        <v>0.1</v>
      </c>
      <c r="M160" s="4">
        <f t="shared" si="9"/>
        <v>1280.56</v>
      </c>
      <c r="N160" s="4">
        <f t="shared" si="10"/>
        <v>640.36</v>
      </c>
      <c r="O160" s="6">
        <f t="shared" si="11"/>
        <v>0.50006247266820769</v>
      </c>
    </row>
    <row r="161" spans="1:15" ht="15" customHeight="1" x14ac:dyDescent="0.3">
      <c r="A161" s="2">
        <f>Raw_Data!A161</f>
        <v>100160</v>
      </c>
      <c r="B161" s="3" t="e">
        <f>DATEVALUE(Raw_Data!B161)</f>
        <v>#VALUE!</v>
      </c>
      <c r="C161" s="2" t="e">
        <f t="shared" si="8"/>
        <v>#VALUE!</v>
      </c>
      <c r="D161" s="2" t="str">
        <f>PROPER(TRIM(Raw_Data!C161))</f>
        <v>Kiara Gupta</v>
      </c>
      <c r="E161" s="2" t="str">
        <f>PROPER(TRIM(Raw_Data!D161))</f>
        <v>East</v>
      </c>
      <c r="F161" s="2" t="str">
        <f>PROPER(TRIM(Raw_Data!E161))</f>
        <v>Furniture</v>
      </c>
      <c r="G161" s="2" t="str">
        <f>PROPER(TRIM(Raw_Data!F161))</f>
        <v>Cabinets</v>
      </c>
      <c r="H161" s="2" t="str">
        <f>Raw_Data!G161</f>
        <v>StorageMax Wood</v>
      </c>
      <c r="I161" s="2">
        <f>Raw_Data!H161</f>
        <v>3</v>
      </c>
      <c r="J161" s="4">
        <f>Raw_Data!I161</f>
        <v>4817.8100000000004</v>
      </c>
      <c r="K161" s="4">
        <f>Raw_Data!J161</f>
        <v>3035.22</v>
      </c>
      <c r="L161" s="5">
        <f>IF(Raw_Data!K161="",0,Raw_Data!K161)</f>
        <v>0.05</v>
      </c>
      <c r="M161" s="4">
        <f t="shared" si="9"/>
        <v>13730.76</v>
      </c>
      <c r="N161" s="4">
        <f t="shared" si="10"/>
        <v>4625.1000000000004</v>
      </c>
      <c r="O161" s="6">
        <f t="shared" si="11"/>
        <v>0.33684224325528961</v>
      </c>
    </row>
    <row r="162" spans="1:15" ht="15" customHeight="1" x14ac:dyDescent="0.3">
      <c r="A162" s="2">
        <f>Raw_Data!A162</f>
        <v>100161</v>
      </c>
      <c r="B162" s="3">
        <f>DATEVALUE(Raw_Data!B162)</f>
        <v>45363</v>
      </c>
      <c r="C162" s="2" t="str">
        <f t="shared" si="8"/>
        <v>Mar-2024</v>
      </c>
      <c r="D162" s="2" t="str">
        <f>PROPER(TRIM(Raw_Data!C162))</f>
        <v>Manoj Chopra</v>
      </c>
      <c r="E162" s="2" t="str">
        <f>PROPER(TRIM(Raw_Data!D162))</f>
        <v>East</v>
      </c>
      <c r="F162" s="2" t="str">
        <f>PROPER(TRIM(Raw_Data!E162))</f>
        <v>Clothing</v>
      </c>
      <c r="G162" s="2" t="str">
        <f>PROPER(TRIM(Raw_Data!F162))</f>
        <v>Bags</v>
      </c>
      <c r="H162" s="2" t="str">
        <f>Raw_Data!G162</f>
        <v>TravelMax Duffel</v>
      </c>
      <c r="I162" s="2">
        <f>Raw_Data!H162</f>
        <v>10</v>
      </c>
      <c r="J162" s="4">
        <f>Raw_Data!I162</f>
        <v>1710.58</v>
      </c>
      <c r="K162" s="4">
        <f>Raw_Data!J162</f>
        <v>855.29</v>
      </c>
      <c r="L162" s="5">
        <f>IF(Raw_Data!K162="",0,Raw_Data!K162)</f>
        <v>0.2</v>
      </c>
      <c r="M162" s="4">
        <f t="shared" si="9"/>
        <v>13684.64</v>
      </c>
      <c r="N162" s="4">
        <f t="shared" si="10"/>
        <v>5131.74</v>
      </c>
      <c r="O162" s="6">
        <f t="shared" si="11"/>
        <v>0.375</v>
      </c>
    </row>
    <row r="163" spans="1:15" ht="15" customHeight="1" x14ac:dyDescent="0.3">
      <c r="A163" s="2">
        <f>Raw_Data!A163</f>
        <v>100162</v>
      </c>
      <c r="B163" s="3">
        <f>DATEVALUE(Raw_Data!B163)</f>
        <v>45472</v>
      </c>
      <c r="C163" s="2" t="str">
        <f t="shared" si="8"/>
        <v>Jun-2024</v>
      </c>
      <c r="D163" s="2" t="str">
        <f>PROPER(TRIM(Raw_Data!C163))</f>
        <v>Vivaan Singh</v>
      </c>
      <c r="E163" s="2" t="str">
        <f>PROPER(TRIM(Raw_Data!D163))</f>
        <v>East</v>
      </c>
      <c r="F163" s="2" t="str">
        <f>PROPER(TRIM(Raw_Data!E163))</f>
        <v>Office Supplies</v>
      </c>
      <c r="G163" s="2" t="str">
        <f>PROPER(TRIM(Raw_Data!F163))</f>
        <v>Staplers</v>
      </c>
      <c r="H163" s="2" t="str">
        <f>Raw_Data!G163</f>
        <v>ClickFix Standard</v>
      </c>
      <c r="I163" s="2">
        <f>Raw_Data!H163</f>
        <v>10</v>
      </c>
      <c r="J163" s="4">
        <f>Raw_Data!I163</f>
        <v>233.38</v>
      </c>
      <c r="K163" s="4">
        <f>Raw_Data!J163</f>
        <v>116.69</v>
      </c>
      <c r="L163" s="5">
        <f>IF(Raw_Data!K163="",0,Raw_Data!K163)</f>
        <v>0.2</v>
      </c>
      <c r="M163" s="4">
        <f t="shared" si="9"/>
        <v>1867.04</v>
      </c>
      <c r="N163" s="4">
        <f t="shared" si="10"/>
        <v>700.14</v>
      </c>
      <c r="O163" s="6">
        <f t="shared" si="11"/>
        <v>0.375</v>
      </c>
    </row>
    <row r="164" spans="1:15" ht="15" customHeight="1" x14ac:dyDescent="0.3">
      <c r="A164" s="2">
        <f>Raw_Data!A164</f>
        <v>100163</v>
      </c>
      <c r="B164" s="3" t="e">
        <f>DATEVALUE(Raw_Data!B164)</f>
        <v>#VALUE!</v>
      </c>
      <c r="C164" s="2" t="e">
        <f t="shared" si="8"/>
        <v>#VALUE!</v>
      </c>
      <c r="D164" s="2" t="str">
        <f>PROPER(TRIM(Raw_Data!C164))</f>
        <v>Riya Gupta</v>
      </c>
      <c r="E164" s="2" t="str">
        <f>PROPER(TRIM(Raw_Data!D164))</f>
        <v>West</v>
      </c>
      <c r="F164" s="2" t="str">
        <f>PROPER(TRIM(Raw_Data!E164))</f>
        <v>Furniture</v>
      </c>
      <c r="G164" s="2" t="str">
        <f>PROPER(TRIM(Raw_Data!F164))</f>
        <v>Desks</v>
      </c>
      <c r="H164" s="2" t="str">
        <f>Raw_Data!G164</f>
        <v>CompactWork</v>
      </c>
      <c r="I164" s="2">
        <f>Raw_Data!H164</f>
        <v>5</v>
      </c>
      <c r="J164" s="4">
        <f>Raw_Data!I164</f>
        <v>3979.73</v>
      </c>
      <c r="K164" s="4">
        <f>Raw_Data!J164</f>
        <v>2586.83</v>
      </c>
      <c r="L164" s="5">
        <f>IF(Raw_Data!K164="",0,Raw_Data!K164)</f>
        <v>0.05</v>
      </c>
      <c r="M164" s="4">
        <f t="shared" si="9"/>
        <v>18903.72</v>
      </c>
      <c r="N164" s="4">
        <f t="shared" si="10"/>
        <v>5969.57</v>
      </c>
      <c r="O164" s="6">
        <f t="shared" si="11"/>
        <v>0.31578810943031316</v>
      </c>
    </row>
    <row r="165" spans="1:15" ht="15" customHeight="1" x14ac:dyDescent="0.3">
      <c r="A165" s="2">
        <f>Raw_Data!A165</f>
        <v>100164</v>
      </c>
      <c r="B165" s="3">
        <f>DATEVALUE(Raw_Data!B165)</f>
        <v>45370</v>
      </c>
      <c r="C165" s="2" t="str">
        <f t="shared" si="8"/>
        <v>Mar-2024</v>
      </c>
      <c r="D165" s="2" t="str">
        <f>PROPER(TRIM(Raw_Data!C165))</f>
        <v>Pooja Bose</v>
      </c>
      <c r="E165" s="2" t="str">
        <f>PROPER(TRIM(Raw_Data!D165))</f>
        <v>South</v>
      </c>
      <c r="F165" s="2" t="str">
        <f>PROPER(TRIM(Raw_Data!E165))</f>
        <v>Clothing</v>
      </c>
      <c r="G165" s="2" t="str">
        <f>PROPER(TRIM(Raw_Data!F165))</f>
        <v>T-Shirts</v>
      </c>
      <c r="H165" s="2" t="str">
        <f>Raw_Data!G165</f>
        <v>CottonBasic</v>
      </c>
      <c r="I165" s="2">
        <f>Raw_Data!H165</f>
        <v>1</v>
      </c>
      <c r="J165" s="4">
        <f>Raw_Data!I165</f>
        <v>439.99</v>
      </c>
      <c r="K165" s="4">
        <f>Raw_Data!J165</f>
        <v>197.99</v>
      </c>
      <c r="L165" s="5">
        <f>IF(Raw_Data!K165="",0,Raw_Data!K165)</f>
        <v>0</v>
      </c>
      <c r="M165" s="4">
        <f t="shared" si="9"/>
        <v>439.99</v>
      </c>
      <c r="N165" s="4">
        <f t="shared" si="10"/>
        <v>242</v>
      </c>
      <c r="O165" s="6">
        <f t="shared" si="11"/>
        <v>0.55001250028409732</v>
      </c>
    </row>
    <row r="166" spans="1:15" ht="15" customHeight="1" x14ac:dyDescent="0.3">
      <c r="A166" s="2">
        <f>Raw_Data!A166</f>
        <v>100165</v>
      </c>
      <c r="B166" s="3">
        <f>DATEVALUE(Raw_Data!B166)</f>
        <v>45632</v>
      </c>
      <c r="C166" s="2" t="str">
        <f t="shared" si="8"/>
        <v>Dec-2024</v>
      </c>
      <c r="D166" s="2" t="str">
        <f>PROPER(TRIM(Raw_Data!C166))</f>
        <v>Kabir Malhotra</v>
      </c>
      <c r="E166" s="2" t="str">
        <f>PROPER(TRIM(Raw_Data!D166))</f>
        <v>North</v>
      </c>
      <c r="F166" s="2" t="str">
        <f>PROPER(TRIM(Raw_Data!E166))</f>
        <v>Furniture</v>
      </c>
      <c r="G166" s="2" t="str">
        <f>PROPER(TRIM(Raw_Data!F166))</f>
        <v>Cabinets</v>
      </c>
      <c r="H166" s="2" t="str">
        <f>Raw_Data!G166</f>
        <v>FileSafe Steel</v>
      </c>
      <c r="I166" s="2">
        <f>Raw_Data!H166</f>
        <v>12</v>
      </c>
      <c r="J166" s="4">
        <f>Raw_Data!I166</f>
        <v>5906.74</v>
      </c>
      <c r="K166" s="4">
        <f>Raw_Data!J166</f>
        <v>3544.04</v>
      </c>
      <c r="L166" s="5">
        <f>IF(Raw_Data!K166="",0,Raw_Data!K166)</f>
        <v>0</v>
      </c>
      <c r="M166" s="4">
        <f t="shared" si="9"/>
        <v>70880.88</v>
      </c>
      <c r="N166" s="4">
        <f t="shared" si="10"/>
        <v>28352.400000000001</v>
      </c>
      <c r="O166" s="6">
        <f t="shared" si="11"/>
        <v>0.40000067719249532</v>
      </c>
    </row>
    <row r="167" spans="1:15" ht="15" customHeight="1" x14ac:dyDescent="0.3">
      <c r="A167" s="2">
        <f>Raw_Data!A167</f>
        <v>100166</v>
      </c>
      <c r="B167" s="3" t="e">
        <f>DATEVALUE(Raw_Data!B167)</f>
        <v>#VALUE!</v>
      </c>
      <c r="C167" s="2" t="e">
        <f t="shared" si="8"/>
        <v>#VALUE!</v>
      </c>
      <c r="D167" s="2" t="str">
        <f>PROPER(TRIM(Raw_Data!C167))</f>
        <v>Sneha Bose</v>
      </c>
      <c r="E167" s="2" t="str">
        <f>PROPER(TRIM(Raw_Data!D167))</f>
        <v>North</v>
      </c>
      <c r="F167" s="2" t="str">
        <f>PROPER(TRIM(Raw_Data!E167))</f>
        <v>Furniture</v>
      </c>
      <c r="G167" s="2" t="str">
        <f>PROPER(TRIM(Raw_Data!F167))</f>
        <v>Cabinets</v>
      </c>
      <c r="H167" s="2" t="str">
        <f>Raw_Data!G167</f>
        <v>StorageMax Wood</v>
      </c>
      <c r="I167" s="2">
        <f>Raw_Data!H167</f>
        <v>12</v>
      </c>
      <c r="J167" s="4">
        <f>Raw_Data!I167</f>
        <v>4595.18</v>
      </c>
      <c r="K167" s="4">
        <f>Raw_Data!J167</f>
        <v>2894.96</v>
      </c>
      <c r="L167" s="5">
        <f>IF(Raw_Data!K167="",0,Raw_Data!K167)</f>
        <v>0.15</v>
      </c>
      <c r="M167" s="4">
        <f t="shared" si="9"/>
        <v>46870.84</v>
      </c>
      <c r="N167" s="4">
        <f t="shared" si="10"/>
        <v>12131.32</v>
      </c>
      <c r="O167" s="6">
        <f t="shared" si="11"/>
        <v>0.25882446314168894</v>
      </c>
    </row>
    <row r="168" spans="1:15" ht="15" customHeight="1" x14ac:dyDescent="0.3">
      <c r="A168" s="2">
        <f>Raw_Data!A168</f>
        <v>100167</v>
      </c>
      <c r="B168" s="3" t="e">
        <f>DATEVALUE(Raw_Data!B168)</f>
        <v>#VALUE!</v>
      </c>
      <c r="C168" s="2" t="e">
        <f t="shared" si="8"/>
        <v>#VALUE!</v>
      </c>
      <c r="D168" s="2" t="str">
        <f>PROPER(TRIM(Raw_Data!C168))</f>
        <v>Aman Sharma</v>
      </c>
      <c r="E168" s="2" t="str">
        <f>PROPER(TRIM(Raw_Data!D168))</f>
        <v>West</v>
      </c>
      <c r="F168" s="2" t="str">
        <f>PROPER(TRIM(Raw_Data!E168))</f>
        <v>Office Supplies</v>
      </c>
      <c r="G168" s="2" t="str">
        <f>PROPER(TRIM(Raw_Data!F168))</f>
        <v>Pens</v>
      </c>
      <c r="H168" s="2" t="str">
        <f>Raw_Data!G168</f>
        <v>WriteSmooth Pack10</v>
      </c>
      <c r="I168" s="2">
        <f>Raw_Data!H168</f>
        <v>5</v>
      </c>
      <c r="J168" s="4">
        <f>Raw_Data!I168</f>
        <v>155.07</v>
      </c>
      <c r="K168" s="4">
        <f>Raw_Data!J168</f>
        <v>69.78</v>
      </c>
      <c r="L168" s="5">
        <f>IF(Raw_Data!K168="",0,Raw_Data!K168)</f>
        <v>0</v>
      </c>
      <c r="M168" s="4">
        <f t="shared" si="9"/>
        <v>775.35</v>
      </c>
      <c r="N168" s="4">
        <f t="shared" si="10"/>
        <v>426.45</v>
      </c>
      <c r="O168" s="6">
        <f t="shared" si="11"/>
        <v>0.55000967305088022</v>
      </c>
    </row>
    <row r="169" spans="1:15" ht="15" customHeight="1" x14ac:dyDescent="0.3">
      <c r="A169" s="2">
        <f>Raw_Data!A169</f>
        <v>100168</v>
      </c>
      <c r="B169" s="3">
        <f>DATEVALUE(Raw_Data!B169)</f>
        <v>45616</v>
      </c>
      <c r="C169" s="2" t="str">
        <f t="shared" si="8"/>
        <v>Nov-2024</v>
      </c>
      <c r="D169" s="2" t="str">
        <f>PROPER(TRIM(Raw_Data!C169))</f>
        <v>Pooja Sharma</v>
      </c>
      <c r="E169" s="2" t="str">
        <f>PROPER(TRIM(Raw_Data!D169))</f>
        <v>East</v>
      </c>
      <c r="F169" s="2" t="str">
        <f>PROPER(TRIM(Raw_Data!E169))</f>
        <v>Electronics</v>
      </c>
      <c r="G169" s="2" t="str">
        <f>PROPER(TRIM(Raw_Data!F169))</f>
        <v>Headphones</v>
      </c>
      <c r="H169" s="2" t="str">
        <f>Raw_Data!G169</f>
        <v>BassBeat Mini</v>
      </c>
      <c r="I169" s="2">
        <f>Raw_Data!H169</f>
        <v>7</v>
      </c>
      <c r="J169" s="4">
        <f>Raw_Data!I169</f>
        <v>1157.5899999999999</v>
      </c>
      <c r="K169" s="4">
        <f>Raw_Data!J169</f>
        <v>694.55</v>
      </c>
      <c r="L169" s="5">
        <f>IF(Raw_Data!K169="",0,Raw_Data!K169)</f>
        <v>0.1</v>
      </c>
      <c r="M169" s="4">
        <f t="shared" si="9"/>
        <v>7292.82</v>
      </c>
      <c r="N169" s="4">
        <f t="shared" si="10"/>
        <v>2430.9699999999998</v>
      </c>
      <c r="O169" s="6">
        <f t="shared" si="11"/>
        <v>0.33333744696838807</v>
      </c>
    </row>
    <row r="170" spans="1:15" ht="15" customHeight="1" x14ac:dyDescent="0.3">
      <c r="A170" s="2">
        <f>Raw_Data!A170</f>
        <v>100169</v>
      </c>
      <c r="B170" s="3">
        <f>DATEVALUE(Raw_Data!B170)</f>
        <v>45384</v>
      </c>
      <c r="C170" s="2" t="str">
        <f t="shared" si="8"/>
        <v>Apr-2024</v>
      </c>
      <c r="D170" s="2" t="str">
        <f>PROPER(TRIM(Raw_Data!C170))</f>
        <v>Nikhil Malhotra</v>
      </c>
      <c r="E170" s="2" t="str">
        <f>PROPER(TRIM(Raw_Data!D170))</f>
        <v>South</v>
      </c>
      <c r="F170" s="2" t="str">
        <f>PROPER(TRIM(Raw_Data!E170))</f>
        <v>Clothing</v>
      </c>
      <c r="G170" s="2" t="str">
        <f>PROPER(TRIM(Raw_Data!F170))</f>
        <v>T-Shirts</v>
      </c>
      <c r="H170" s="2" t="str">
        <f>Raw_Data!G170</f>
        <v>CottonBasic</v>
      </c>
      <c r="I170" s="2">
        <f>Raw_Data!H170</f>
        <v>10</v>
      </c>
      <c r="J170" s="4">
        <f>Raw_Data!I170</f>
        <v>431.45</v>
      </c>
      <c r="K170" s="4">
        <f>Raw_Data!J170</f>
        <v>194.15</v>
      </c>
      <c r="L170" s="5">
        <f>IF(Raw_Data!K170="",0,Raw_Data!K170)</f>
        <v>0.05</v>
      </c>
      <c r="M170" s="4">
        <f t="shared" si="9"/>
        <v>4098.78</v>
      </c>
      <c r="N170" s="4">
        <f t="shared" si="10"/>
        <v>2157.2800000000002</v>
      </c>
      <c r="O170" s="6">
        <f t="shared" si="11"/>
        <v>0.52632246668520888</v>
      </c>
    </row>
    <row r="171" spans="1:15" ht="15" customHeight="1" x14ac:dyDescent="0.3">
      <c r="A171" s="2">
        <f>Raw_Data!A171</f>
        <v>100170</v>
      </c>
      <c r="B171" s="3" t="e">
        <f>DATEVALUE(Raw_Data!B171)</f>
        <v>#VALUE!</v>
      </c>
      <c r="C171" s="2" t="e">
        <f t="shared" si="8"/>
        <v>#VALUE!</v>
      </c>
      <c r="D171" s="2" t="str">
        <f>PROPER(TRIM(Raw_Data!C171))</f>
        <v>Myra Agarwal</v>
      </c>
      <c r="E171" s="2" t="str">
        <f>PROPER(TRIM(Raw_Data!D171))</f>
        <v>South</v>
      </c>
      <c r="F171" s="2" t="str">
        <f>PROPER(TRIM(Raw_Data!E171))</f>
        <v>Office Supplies</v>
      </c>
      <c r="G171" s="2" t="str">
        <f>PROPER(TRIM(Raw_Data!F171))</f>
        <v>Paper</v>
      </c>
      <c r="H171" s="2" t="str">
        <f>Raw_Data!G171</f>
        <v>CopyMax A4 Ream</v>
      </c>
      <c r="I171" s="2">
        <f>Raw_Data!H171</f>
        <v>2</v>
      </c>
      <c r="J171" s="4">
        <f>Raw_Data!I171</f>
        <v>254.12</v>
      </c>
      <c r="K171" s="4">
        <f>Raw_Data!J171</f>
        <v>127.06</v>
      </c>
      <c r="L171" s="5">
        <f>IF(Raw_Data!K171="",0,Raw_Data!K171)</f>
        <v>0</v>
      </c>
      <c r="M171" s="4">
        <f t="shared" si="9"/>
        <v>508.24</v>
      </c>
      <c r="N171" s="4">
        <f t="shared" si="10"/>
        <v>254.12</v>
      </c>
      <c r="O171" s="6">
        <f t="shared" si="11"/>
        <v>0.5</v>
      </c>
    </row>
    <row r="172" spans="1:15" ht="15" customHeight="1" x14ac:dyDescent="0.3">
      <c r="A172" s="2">
        <f>Raw_Data!A172</f>
        <v>100171</v>
      </c>
      <c r="B172" s="3">
        <f>DATEVALUE(Raw_Data!B172)</f>
        <v>45332</v>
      </c>
      <c r="C172" s="2" t="str">
        <f t="shared" si="8"/>
        <v>Feb-2024</v>
      </c>
      <c r="D172" s="2" t="str">
        <f>PROPER(TRIM(Raw_Data!C172))</f>
        <v>Priya Reddy</v>
      </c>
      <c r="E172" s="2" t="str">
        <f>PROPER(TRIM(Raw_Data!D172))</f>
        <v>South</v>
      </c>
      <c r="F172" s="2" t="str">
        <f>PROPER(TRIM(Raw_Data!E172))</f>
        <v>Electronics</v>
      </c>
      <c r="G172" s="2" t="str">
        <f>PROPER(TRIM(Raw_Data!F172))</f>
        <v>Headphones</v>
      </c>
      <c r="H172" s="2" t="str">
        <f>Raw_Data!G172</f>
        <v>SoundMax Pro</v>
      </c>
      <c r="I172" s="2">
        <f>Raw_Data!H172</f>
        <v>7</v>
      </c>
      <c r="J172" s="4">
        <f>Raw_Data!I172</f>
        <v>2412.6999999999998</v>
      </c>
      <c r="K172" s="4">
        <f>Raw_Data!J172</f>
        <v>1326.98</v>
      </c>
      <c r="L172" s="5">
        <f>IF(Raw_Data!K172="",0,Raw_Data!K172)</f>
        <v>0.1</v>
      </c>
      <c r="M172" s="4">
        <f t="shared" si="9"/>
        <v>15200.01</v>
      </c>
      <c r="N172" s="4">
        <f t="shared" si="10"/>
        <v>5911.15</v>
      </c>
      <c r="O172" s="6">
        <f t="shared" si="11"/>
        <v>0.38889119151895291</v>
      </c>
    </row>
    <row r="173" spans="1:15" ht="15" customHeight="1" x14ac:dyDescent="0.3">
      <c r="A173" s="2">
        <f>Raw_Data!A173</f>
        <v>100172</v>
      </c>
      <c r="B173" s="3">
        <f>DATEVALUE(Raw_Data!B173)</f>
        <v>45655</v>
      </c>
      <c r="C173" s="2" t="str">
        <f t="shared" si="8"/>
        <v>Dec-2024</v>
      </c>
      <c r="D173" s="2" t="str">
        <f>PROPER(TRIM(Raw_Data!C173))</f>
        <v>Aman Sharma</v>
      </c>
      <c r="E173" s="2" t="str">
        <f>PROPER(TRIM(Raw_Data!D173))</f>
        <v>East</v>
      </c>
      <c r="F173" s="2" t="str">
        <f>PROPER(TRIM(Raw_Data!E173))</f>
        <v>Furniture</v>
      </c>
      <c r="G173" s="2" t="str">
        <f>PROPER(TRIM(Raw_Data!F173))</f>
        <v>Bookshelves</v>
      </c>
      <c r="H173" s="2" t="str">
        <f>Raw_Data!G173</f>
        <v>WoodCraft 5-Tier</v>
      </c>
      <c r="I173" s="2">
        <f>Raw_Data!H173</f>
        <v>12</v>
      </c>
      <c r="J173" s="4">
        <f>Raw_Data!I173</f>
        <v>3575.26</v>
      </c>
      <c r="K173" s="4">
        <f>Raw_Data!J173</f>
        <v>2145.15</v>
      </c>
      <c r="L173" s="5">
        <f>IF(Raw_Data!K173="",0,Raw_Data!K173)</f>
        <v>0.05</v>
      </c>
      <c r="M173" s="4">
        <f t="shared" si="9"/>
        <v>40757.96</v>
      </c>
      <c r="N173" s="4">
        <f t="shared" si="10"/>
        <v>15016.16</v>
      </c>
      <c r="O173" s="6">
        <f t="shared" si="11"/>
        <v>0.36842275717430412</v>
      </c>
    </row>
    <row r="174" spans="1:15" ht="15" customHeight="1" x14ac:dyDescent="0.3">
      <c r="A174" s="2">
        <f>Raw_Data!A174</f>
        <v>100173</v>
      </c>
      <c r="B174" s="3">
        <f>DATEVALUE(Raw_Data!B174)</f>
        <v>45449</v>
      </c>
      <c r="C174" s="2" t="str">
        <f t="shared" si="8"/>
        <v>Jun-2024</v>
      </c>
      <c r="D174" s="2" t="str">
        <f>PROPER(TRIM(Raw_Data!C174))</f>
        <v>Aman Singh</v>
      </c>
      <c r="E174" s="2" t="str">
        <f>PROPER(TRIM(Raw_Data!D174))</f>
        <v>West</v>
      </c>
      <c r="F174" s="2" t="str">
        <f>PROPER(TRIM(Raw_Data!E174))</f>
        <v>Clothing</v>
      </c>
      <c r="G174" s="2" t="str">
        <f>PROPER(TRIM(Raw_Data!F174))</f>
        <v>Shoes</v>
      </c>
      <c r="H174" s="2" t="str">
        <f>Raw_Data!G174</f>
        <v>WalkEase Casual</v>
      </c>
      <c r="I174" s="2">
        <f>Raw_Data!H174</f>
        <v>8</v>
      </c>
      <c r="J174" s="4">
        <f>Raw_Data!I174</f>
        <v>2017.26</v>
      </c>
      <c r="K174" s="4">
        <f>Raw_Data!J174</f>
        <v>1008.63</v>
      </c>
      <c r="L174" s="5">
        <f>IF(Raw_Data!K174="",0,Raw_Data!K174)</f>
        <v>0</v>
      </c>
      <c r="M174" s="4">
        <f t="shared" si="9"/>
        <v>16138.08</v>
      </c>
      <c r="N174" s="4">
        <f t="shared" si="10"/>
        <v>8069.04</v>
      </c>
      <c r="O174" s="6">
        <f t="shared" si="11"/>
        <v>0.5</v>
      </c>
    </row>
    <row r="175" spans="1:15" ht="15" customHeight="1" x14ac:dyDescent="0.3">
      <c r="A175" s="2">
        <f>Raw_Data!A175</f>
        <v>100174</v>
      </c>
      <c r="B175" s="3">
        <f>DATEVALUE(Raw_Data!B175)</f>
        <v>45381</v>
      </c>
      <c r="C175" s="2" t="str">
        <f t="shared" si="8"/>
        <v>Mar-2024</v>
      </c>
      <c r="D175" s="2" t="str">
        <f>PROPER(TRIM(Raw_Data!C175))</f>
        <v>Rahul Rao</v>
      </c>
      <c r="E175" s="2" t="str">
        <f>PROPER(TRIM(Raw_Data!D175))</f>
        <v>North</v>
      </c>
      <c r="F175" s="2" t="str">
        <f>PROPER(TRIM(Raw_Data!E175))</f>
        <v>Furniture</v>
      </c>
      <c r="G175" s="2" t="str">
        <f>PROPER(TRIM(Raw_Data!F175))</f>
        <v>Chairs</v>
      </c>
      <c r="H175" s="2" t="str">
        <f>Raw_Data!G175</f>
        <v>ClassicWood</v>
      </c>
      <c r="I175" s="2">
        <f>Raw_Data!H175</f>
        <v>6</v>
      </c>
      <c r="J175" s="4">
        <f>Raw_Data!I175</f>
        <v>5198.8900000000003</v>
      </c>
      <c r="K175" s="4">
        <f>Raw_Data!J175</f>
        <v>3379.28</v>
      </c>
      <c r="L175" s="5">
        <f>IF(Raw_Data!K175="",0,Raw_Data!K175)</f>
        <v>0</v>
      </c>
      <c r="M175" s="4">
        <f t="shared" si="9"/>
        <v>31193.34</v>
      </c>
      <c r="N175" s="4">
        <f t="shared" si="10"/>
        <v>10917.66</v>
      </c>
      <c r="O175" s="6">
        <f t="shared" si="11"/>
        <v>0.34999971147687292</v>
      </c>
    </row>
    <row r="176" spans="1:15" ht="15" customHeight="1" x14ac:dyDescent="0.3">
      <c r="A176" s="2">
        <f>Raw_Data!A176</f>
        <v>100175</v>
      </c>
      <c r="B176" s="3" t="e">
        <f>DATEVALUE(Raw_Data!B176)</f>
        <v>#VALUE!</v>
      </c>
      <c r="C176" s="2" t="e">
        <f t="shared" si="8"/>
        <v>#VALUE!</v>
      </c>
      <c r="D176" s="2" t="str">
        <f>PROPER(TRIM(Raw_Data!C176))</f>
        <v>Yash Mehta</v>
      </c>
      <c r="E176" s="2" t="str">
        <f>PROPER(TRIM(Raw_Data!D176))</f>
        <v>North</v>
      </c>
      <c r="F176" s="2" t="str">
        <f>PROPER(TRIM(Raw_Data!E176))</f>
        <v>Electronics</v>
      </c>
      <c r="G176" s="2" t="str">
        <f>PROPER(TRIM(Raw_Data!F176))</f>
        <v>Headphones</v>
      </c>
      <c r="H176" s="2" t="str">
        <f>Raw_Data!G176</f>
        <v>SoundMax Pro</v>
      </c>
      <c r="I176" s="2">
        <f>Raw_Data!H176</f>
        <v>9</v>
      </c>
      <c r="J176" s="4">
        <f>Raw_Data!I176</f>
        <v>2693.96</v>
      </c>
      <c r="K176" s="4">
        <f>Raw_Data!J176</f>
        <v>1481.68</v>
      </c>
      <c r="L176" s="5">
        <f>IF(Raw_Data!K176="",0,Raw_Data!K176)</f>
        <v>0.1</v>
      </c>
      <c r="M176" s="4">
        <f t="shared" si="9"/>
        <v>21821.08</v>
      </c>
      <c r="N176" s="4">
        <f t="shared" si="10"/>
        <v>8485.9599999999991</v>
      </c>
      <c r="O176" s="6">
        <f t="shared" si="11"/>
        <v>0.38888817602061854</v>
      </c>
    </row>
    <row r="177" spans="1:15" ht="15" customHeight="1" x14ac:dyDescent="0.3">
      <c r="A177" s="2">
        <f>Raw_Data!A177</f>
        <v>100176</v>
      </c>
      <c r="B177" s="3">
        <f>DATEVALUE(Raw_Data!B177)</f>
        <v>45406</v>
      </c>
      <c r="C177" s="2" t="str">
        <f t="shared" si="8"/>
        <v>Apr-2024</v>
      </c>
      <c r="D177" s="2" t="str">
        <f>PROPER(TRIM(Raw_Data!C177))</f>
        <v>Kabir Sharma</v>
      </c>
      <c r="E177" s="2" t="str">
        <f>PROPER(TRIM(Raw_Data!D177))</f>
        <v>East</v>
      </c>
      <c r="F177" s="2" t="str">
        <f>PROPER(TRIM(Raw_Data!E177))</f>
        <v>Furniture</v>
      </c>
      <c r="G177" s="2" t="str">
        <f>PROPER(TRIM(Raw_Data!F177))</f>
        <v>Cabinets</v>
      </c>
      <c r="H177" s="2" t="str">
        <f>Raw_Data!G177</f>
        <v>StorageMax Wood</v>
      </c>
      <c r="I177" s="2">
        <f>Raw_Data!H177</f>
        <v>10</v>
      </c>
      <c r="J177" s="4">
        <f>Raw_Data!I177</f>
        <v>5058.8100000000004</v>
      </c>
      <c r="K177" s="4">
        <f>Raw_Data!J177</f>
        <v>3187.05</v>
      </c>
      <c r="L177" s="5">
        <f>IF(Raw_Data!K177="",0,Raw_Data!K177)</f>
        <v>0.2</v>
      </c>
      <c r="M177" s="4">
        <f t="shared" si="9"/>
        <v>40470.480000000003</v>
      </c>
      <c r="N177" s="4">
        <f t="shared" si="10"/>
        <v>8599.98</v>
      </c>
      <c r="O177" s="6">
        <f t="shared" si="11"/>
        <v>0.2125000741281052</v>
      </c>
    </row>
    <row r="178" spans="1:15" ht="15" customHeight="1" x14ac:dyDescent="0.3">
      <c r="A178" s="2">
        <f>Raw_Data!A178</f>
        <v>100177</v>
      </c>
      <c r="B178" s="3">
        <f>DATEVALUE(Raw_Data!B178)</f>
        <v>45513</v>
      </c>
      <c r="C178" s="2" t="str">
        <f t="shared" si="8"/>
        <v>Aug-2024</v>
      </c>
      <c r="D178" s="2" t="str">
        <f>PROPER(TRIM(Raw_Data!C178))</f>
        <v>Neha Verma</v>
      </c>
      <c r="E178" s="2" t="str">
        <f>PROPER(TRIM(Raw_Data!D178))</f>
        <v>East</v>
      </c>
      <c r="F178" s="2" t="str">
        <f>PROPER(TRIM(Raw_Data!E178))</f>
        <v>Electronics</v>
      </c>
      <c r="G178" s="2" t="str">
        <f>PROPER(TRIM(Raw_Data!F178))</f>
        <v>Keyboards</v>
      </c>
      <c r="H178" s="2" t="str">
        <f>Raw_Data!G178</f>
        <v>GamerEdge RGB</v>
      </c>
      <c r="I178" s="2">
        <f>Raw_Data!H178</f>
        <v>12</v>
      </c>
      <c r="J178" s="4">
        <f>Raw_Data!I178</f>
        <v>3068.93</v>
      </c>
      <c r="K178" s="4">
        <f>Raw_Data!J178</f>
        <v>1534.46</v>
      </c>
      <c r="L178" s="5">
        <f>IF(Raw_Data!K178="",0,Raw_Data!K178)</f>
        <v>0</v>
      </c>
      <c r="M178" s="4">
        <f t="shared" si="9"/>
        <v>36827.160000000003</v>
      </c>
      <c r="N178" s="4">
        <f t="shared" si="10"/>
        <v>18413.64</v>
      </c>
      <c r="O178" s="6">
        <f t="shared" si="11"/>
        <v>0.50000162923233826</v>
      </c>
    </row>
    <row r="179" spans="1:15" ht="15" customHeight="1" x14ac:dyDescent="0.3">
      <c r="A179" s="2">
        <f>Raw_Data!A179</f>
        <v>100178</v>
      </c>
      <c r="B179" s="3" t="e">
        <f>DATEVALUE(Raw_Data!B179)</f>
        <v>#VALUE!</v>
      </c>
      <c r="C179" s="2" t="e">
        <f t="shared" si="8"/>
        <v>#VALUE!</v>
      </c>
      <c r="D179" s="2" t="str">
        <f>PROPER(TRIM(Raw_Data!C179))</f>
        <v>Aditya Agarwal</v>
      </c>
      <c r="E179" s="2" t="str">
        <f>PROPER(TRIM(Raw_Data!D179))</f>
        <v>West</v>
      </c>
      <c r="F179" s="2" t="str">
        <f>PROPER(TRIM(Raw_Data!E179))</f>
        <v>Office Supplies</v>
      </c>
      <c r="G179" s="2" t="str">
        <f>PROPER(TRIM(Raw_Data!F179))</f>
        <v>Binders</v>
      </c>
      <c r="H179" s="2" t="str">
        <f>Raw_Data!G179</f>
        <v>RingFile A4</v>
      </c>
      <c r="I179" s="2">
        <f>Raw_Data!H179</f>
        <v>10</v>
      </c>
      <c r="J179" s="4">
        <f>Raw_Data!I179</f>
        <v>173.24</v>
      </c>
      <c r="K179" s="4">
        <f>Raw_Data!J179</f>
        <v>83.15</v>
      </c>
      <c r="L179" s="5">
        <f>IF(Raw_Data!K179="",0,Raw_Data!K179)</f>
        <v>0</v>
      </c>
      <c r="M179" s="4">
        <f t="shared" si="9"/>
        <v>1732.4</v>
      </c>
      <c r="N179" s="4">
        <f t="shared" si="10"/>
        <v>900.9</v>
      </c>
      <c r="O179" s="6">
        <f t="shared" si="11"/>
        <v>0.52003001616254907</v>
      </c>
    </row>
    <row r="180" spans="1:15" ht="15" customHeight="1" x14ac:dyDescent="0.3">
      <c r="A180" s="2">
        <f>Raw_Data!A180</f>
        <v>100179</v>
      </c>
      <c r="B180" s="3">
        <f>DATEVALUE(Raw_Data!B180)</f>
        <v>45376</v>
      </c>
      <c r="C180" s="2" t="str">
        <f t="shared" si="8"/>
        <v>Mar-2024</v>
      </c>
      <c r="D180" s="2" t="str">
        <f>PROPER(TRIM(Raw_Data!C180))</f>
        <v>Kabir Singh</v>
      </c>
      <c r="E180" s="2" t="str">
        <f>PROPER(TRIM(Raw_Data!D180))</f>
        <v>West</v>
      </c>
      <c r="F180" s="2" t="str">
        <f>PROPER(TRIM(Raw_Data!E180))</f>
        <v>Office Supplies</v>
      </c>
      <c r="G180" s="2" t="str">
        <f>PROPER(TRIM(Raw_Data!F180))</f>
        <v>Staplers</v>
      </c>
      <c r="H180" s="2" t="str">
        <f>Raw_Data!G180</f>
        <v>HeavyDuty Pro</v>
      </c>
      <c r="I180" s="2">
        <f>Raw_Data!H180</f>
        <v>5</v>
      </c>
      <c r="J180" s="4">
        <f>Raw_Data!I180</f>
        <v>470.58</v>
      </c>
      <c r="K180" s="4">
        <f>Raw_Data!J180</f>
        <v>235.29</v>
      </c>
      <c r="L180" s="5">
        <f>IF(Raw_Data!K180="",0,Raw_Data!K180)</f>
        <v>0</v>
      </c>
      <c r="M180" s="4">
        <f t="shared" si="9"/>
        <v>2352.9</v>
      </c>
      <c r="N180" s="4">
        <f t="shared" si="10"/>
        <v>1176.45</v>
      </c>
      <c r="O180" s="6">
        <f t="shared" si="11"/>
        <v>0.5</v>
      </c>
    </row>
    <row r="181" spans="1:15" ht="15" customHeight="1" x14ac:dyDescent="0.3">
      <c r="A181" s="2">
        <f>Raw_Data!A181</f>
        <v>100180</v>
      </c>
      <c r="B181" s="3">
        <f>DATEVALUE(Raw_Data!B181)</f>
        <v>45439</v>
      </c>
      <c r="C181" s="2" t="str">
        <f t="shared" si="8"/>
        <v>May-2024</v>
      </c>
      <c r="D181" s="2" t="str">
        <f>PROPER(TRIM(Raw_Data!C181))</f>
        <v>Sai Kapoor</v>
      </c>
      <c r="E181" s="2" t="str">
        <f>PROPER(TRIM(Raw_Data!D181))</f>
        <v>East</v>
      </c>
      <c r="F181" s="2" t="str">
        <f>PROPER(TRIM(Raw_Data!E181))</f>
        <v>Clothing</v>
      </c>
      <c r="G181" s="2" t="str">
        <f>PROPER(TRIM(Raw_Data!F181))</f>
        <v>Shoes</v>
      </c>
      <c r="H181" s="2" t="str">
        <f>Raw_Data!G181</f>
        <v>WalkEase Casual</v>
      </c>
      <c r="I181" s="2">
        <f>Raw_Data!H181</f>
        <v>2</v>
      </c>
      <c r="J181" s="4">
        <f>Raw_Data!I181</f>
        <v>1843.93</v>
      </c>
      <c r="K181" s="4">
        <f>Raw_Data!J181</f>
        <v>921.97</v>
      </c>
      <c r="L181" s="5">
        <f>IF(Raw_Data!K181="",0,Raw_Data!K181)</f>
        <v>0.15</v>
      </c>
      <c r="M181" s="4">
        <f t="shared" si="9"/>
        <v>3134.68</v>
      </c>
      <c r="N181" s="4">
        <f t="shared" si="10"/>
        <v>1290.74</v>
      </c>
      <c r="O181" s="6">
        <f t="shared" si="11"/>
        <v>0.41176132811004634</v>
      </c>
    </row>
    <row r="182" spans="1:15" ht="15" customHeight="1" x14ac:dyDescent="0.3">
      <c r="A182" s="2">
        <f>Raw_Data!A182</f>
        <v>100181</v>
      </c>
      <c r="B182" s="3">
        <f>DATEVALUE(Raw_Data!B182)</f>
        <v>45337</v>
      </c>
      <c r="C182" s="2" t="str">
        <f t="shared" si="8"/>
        <v>Feb-2024</v>
      </c>
      <c r="D182" s="2" t="str">
        <f>PROPER(TRIM(Raw_Data!C182))</f>
        <v>Nikhil Patel</v>
      </c>
      <c r="E182" s="2" t="str">
        <f>PROPER(TRIM(Raw_Data!D182))</f>
        <v>South</v>
      </c>
      <c r="F182" s="2" t="str">
        <f>PROPER(TRIM(Raw_Data!E182))</f>
        <v>Electronics</v>
      </c>
      <c r="G182" s="2" t="str">
        <f>PROPER(TRIM(Raw_Data!F182))</f>
        <v>Keyboards</v>
      </c>
      <c r="H182" s="2" t="str">
        <f>Raw_Data!G182</f>
        <v>SilentBoard</v>
      </c>
      <c r="I182" s="2">
        <f>Raw_Data!H182</f>
        <v>9</v>
      </c>
      <c r="J182" s="4">
        <f>Raw_Data!I182</f>
        <v>994.89</v>
      </c>
      <c r="K182" s="4">
        <f>Raw_Data!J182</f>
        <v>596.92999999999995</v>
      </c>
      <c r="L182" s="5">
        <f>IF(Raw_Data!K182="",0,Raw_Data!K182)</f>
        <v>0</v>
      </c>
      <c r="M182" s="4">
        <f t="shared" si="9"/>
        <v>8954.01</v>
      </c>
      <c r="N182" s="4">
        <f t="shared" si="10"/>
        <v>3581.64</v>
      </c>
      <c r="O182" s="6">
        <f t="shared" si="11"/>
        <v>0.40000402054498485</v>
      </c>
    </row>
    <row r="183" spans="1:15" ht="15" customHeight="1" x14ac:dyDescent="0.3">
      <c r="A183" s="2">
        <f>Raw_Data!A183</f>
        <v>100182</v>
      </c>
      <c r="B183" s="3">
        <f>DATEVALUE(Raw_Data!B183)</f>
        <v>45530</v>
      </c>
      <c r="C183" s="2" t="str">
        <f t="shared" si="8"/>
        <v>Aug-2024</v>
      </c>
      <c r="D183" s="2" t="str">
        <f>PROPER(TRIM(Raw_Data!C183))</f>
        <v>Aditya Kapoor</v>
      </c>
      <c r="E183" s="2" t="str">
        <f>PROPER(TRIM(Raw_Data!D183))</f>
        <v>North</v>
      </c>
      <c r="F183" s="2" t="str">
        <f>PROPER(TRIM(Raw_Data!E183))</f>
        <v>Office Supplies</v>
      </c>
      <c r="G183" s="2" t="str">
        <f>PROPER(TRIM(Raw_Data!F183))</f>
        <v>Paper</v>
      </c>
      <c r="H183" s="2" t="str">
        <f>Raw_Data!G183</f>
        <v>PrintPro A4 Ream</v>
      </c>
      <c r="I183" s="2">
        <f>Raw_Data!H183</f>
        <v>2</v>
      </c>
      <c r="J183" s="4">
        <f>Raw_Data!I183</f>
        <v>273.2</v>
      </c>
      <c r="K183" s="4">
        <f>Raw_Data!J183</f>
        <v>136.6</v>
      </c>
      <c r="L183" s="5">
        <f>IF(Raw_Data!K183="",0,Raw_Data!K183)</f>
        <v>0.15</v>
      </c>
      <c r="M183" s="4">
        <f t="shared" si="9"/>
        <v>464.44</v>
      </c>
      <c r="N183" s="4">
        <f t="shared" si="10"/>
        <v>191.24</v>
      </c>
      <c r="O183" s="6">
        <f t="shared" si="11"/>
        <v>0.41176470588235298</v>
      </c>
    </row>
    <row r="184" spans="1:15" ht="15" customHeight="1" x14ac:dyDescent="0.3">
      <c r="A184" s="2">
        <f>Raw_Data!A184</f>
        <v>100183</v>
      </c>
      <c r="B184" s="3">
        <f>DATEVALUE(Raw_Data!B184)</f>
        <v>45538</v>
      </c>
      <c r="C184" s="2" t="str">
        <f t="shared" si="8"/>
        <v>Sep-2024</v>
      </c>
      <c r="D184" s="2" t="str">
        <f>PROPER(TRIM(Raw_Data!C184))</f>
        <v>Kiara Patel</v>
      </c>
      <c r="E184" s="2" t="str">
        <f>PROPER(TRIM(Raw_Data!D184))</f>
        <v>West</v>
      </c>
      <c r="F184" s="2" t="str">
        <f>PROPER(TRIM(Raw_Data!E184))</f>
        <v>Electronics</v>
      </c>
      <c r="G184" s="2" t="str">
        <f>PROPER(TRIM(Raw_Data!F184))</f>
        <v>Keyboards</v>
      </c>
      <c r="H184" s="2" t="str">
        <f>Raw_Data!G184</f>
        <v>GamerEdge RGB</v>
      </c>
      <c r="I184" s="2">
        <f>Raw_Data!H184</f>
        <v>7</v>
      </c>
      <c r="J184" s="4">
        <f>Raw_Data!I184</f>
        <v>3014.64</v>
      </c>
      <c r="K184" s="4">
        <f>Raw_Data!J184</f>
        <v>1507.32</v>
      </c>
      <c r="L184" s="5">
        <f>IF(Raw_Data!K184="",0,Raw_Data!K184)</f>
        <v>0</v>
      </c>
      <c r="M184" s="4">
        <f t="shared" si="9"/>
        <v>21102.48</v>
      </c>
      <c r="N184" s="4">
        <f t="shared" si="10"/>
        <v>10551.24</v>
      </c>
      <c r="O184" s="6">
        <f t="shared" si="11"/>
        <v>0.5</v>
      </c>
    </row>
    <row r="185" spans="1:15" ht="15" customHeight="1" x14ac:dyDescent="0.3">
      <c r="A185" s="2">
        <f>Raw_Data!A185</f>
        <v>100184</v>
      </c>
      <c r="B185" s="3">
        <f>DATEVALUE(Raw_Data!B185)</f>
        <v>45543</v>
      </c>
      <c r="C185" s="2" t="str">
        <f t="shared" si="8"/>
        <v>Sep-2024</v>
      </c>
      <c r="D185" s="2" t="str">
        <f>PROPER(TRIM(Raw_Data!C185))</f>
        <v>Myra Chopra</v>
      </c>
      <c r="E185" s="2" t="str">
        <f>PROPER(TRIM(Raw_Data!D185))</f>
        <v>North</v>
      </c>
      <c r="F185" s="2" t="str">
        <f>PROPER(TRIM(Raw_Data!E185))</f>
        <v>Electronics</v>
      </c>
      <c r="G185" s="2" t="str">
        <f>PROPER(TRIM(Raw_Data!F185))</f>
        <v>Monitors</v>
      </c>
      <c r="H185" s="2" t="str">
        <f>Raw_Data!G185</f>
        <v>WideView 27</v>
      </c>
      <c r="I185" s="2">
        <f>Raw_Data!H185</f>
        <v>3</v>
      </c>
      <c r="J185" s="4">
        <f>Raw_Data!I185</f>
        <v>14063.01</v>
      </c>
      <c r="K185" s="4">
        <f>Raw_Data!J185</f>
        <v>8437.7999999999993</v>
      </c>
      <c r="L185" s="5">
        <f>IF(Raw_Data!K185="",0,Raw_Data!K185)</f>
        <v>0.15</v>
      </c>
      <c r="M185" s="4">
        <f t="shared" si="9"/>
        <v>35860.68</v>
      </c>
      <c r="N185" s="4">
        <f t="shared" si="10"/>
        <v>10547.28</v>
      </c>
      <c r="O185" s="6">
        <f t="shared" si="11"/>
        <v>0.2941182375794324</v>
      </c>
    </row>
    <row r="186" spans="1:15" ht="15" customHeight="1" x14ac:dyDescent="0.3">
      <c r="A186" s="2">
        <f>Raw_Data!A186</f>
        <v>100185</v>
      </c>
      <c r="B186" s="3">
        <f>DATEVALUE(Raw_Data!B186)</f>
        <v>45547</v>
      </c>
      <c r="C186" s="2" t="str">
        <f t="shared" si="8"/>
        <v>Sep-2024</v>
      </c>
      <c r="D186" s="2" t="str">
        <f>PROPER(TRIM(Raw_Data!C186))</f>
        <v>Rohan Singh</v>
      </c>
      <c r="E186" s="2" t="str">
        <f>PROPER(TRIM(Raw_Data!D186))</f>
        <v>North</v>
      </c>
      <c r="F186" s="2" t="str">
        <f>PROPER(TRIM(Raw_Data!E186))</f>
        <v>Office Supplies</v>
      </c>
      <c r="G186" s="2" t="str">
        <f>PROPER(TRIM(Raw_Data!F186))</f>
        <v>Pens</v>
      </c>
      <c r="H186" s="2" t="str">
        <f>Raw_Data!G186</f>
        <v>WriteSmooth Pack10</v>
      </c>
      <c r="I186" s="2">
        <f>Raw_Data!H186</f>
        <v>5</v>
      </c>
      <c r="J186" s="4">
        <f>Raw_Data!I186</f>
        <v>143.63999999999999</v>
      </c>
      <c r="K186" s="4">
        <f>Raw_Data!J186</f>
        <v>64.64</v>
      </c>
      <c r="L186" s="5">
        <f>IF(Raw_Data!K186="",0,Raw_Data!K186)</f>
        <v>0.1</v>
      </c>
      <c r="M186" s="4">
        <f t="shared" si="9"/>
        <v>646.38</v>
      </c>
      <c r="N186" s="4">
        <f t="shared" si="10"/>
        <v>323.18</v>
      </c>
      <c r="O186" s="6">
        <f t="shared" si="11"/>
        <v>0.49998452922429532</v>
      </c>
    </row>
    <row r="187" spans="1:15" ht="15" customHeight="1" x14ac:dyDescent="0.3">
      <c r="A187" s="2">
        <f>Raw_Data!A187</f>
        <v>100186</v>
      </c>
      <c r="B187" s="3" t="e">
        <f>DATEVALUE(Raw_Data!B187)</f>
        <v>#VALUE!</v>
      </c>
      <c r="C187" s="2" t="e">
        <f t="shared" si="8"/>
        <v>#VALUE!</v>
      </c>
      <c r="D187" s="2" t="str">
        <f>PROPER(TRIM(Raw_Data!C187))</f>
        <v>Meera Agarwal</v>
      </c>
      <c r="E187" s="2" t="str">
        <f>PROPER(TRIM(Raw_Data!D187))</f>
        <v>South</v>
      </c>
      <c r="F187" s="2" t="str">
        <f>PROPER(TRIM(Raw_Data!E187))</f>
        <v>Clothing</v>
      </c>
      <c r="G187" s="2" t="str">
        <f>PROPER(TRIM(Raw_Data!F187))</f>
        <v>Shoes</v>
      </c>
      <c r="H187" s="2" t="str">
        <f>Raw_Data!G187</f>
        <v>WalkEase Casual</v>
      </c>
      <c r="I187" s="2">
        <f>Raw_Data!H187</f>
        <v>3</v>
      </c>
      <c r="J187" s="4">
        <f>Raw_Data!I187</f>
        <v>1863.43</v>
      </c>
      <c r="K187" s="4">
        <f>Raw_Data!J187</f>
        <v>931.71</v>
      </c>
      <c r="L187" s="5">
        <f>IF(Raw_Data!K187="",0,Raw_Data!K187)</f>
        <v>0</v>
      </c>
      <c r="M187" s="4">
        <f t="shared" si="9"/>
        <v>5590.29</v>
      </c>
      <c r="N187" s="4">
        <f t="shared" si="10"/>
        <v>2795.16</v>
      </c>
      <c r="O187" s="6">
        <f t="shared" si="11"/>
        <v>0.50000268322394725</v>
      </c>
    </row>
    <row r="188" spans="1:15" ht="15" customHeight="1" x14ac:dyDescent="0.3">
      <c r="A188" s="2">
        <f>Raw_Data!A188</f>
        <v>100187</v>
      </c>
      <c r="B188" s="3">
        <f>DATEVALUE(Raw_Data!B188)</f>
        <v>45573</v>
      </c>
      <c r="C188" s="2" t="str">
        <f t="shared" si="8"/>
        <v>Oct-2024</v>
      </c>
      <c r="D188" s="2" t="str">
        <f>PROPER(TRIM(Raw_Data!C188))</f>
        <v>Pooja Das</v>
      </c>
      <c r="E188" s="2" t="str">
        <f>PROPER(TRIM(Raw_Data!D188))</f>
        <v>West</v>
      </c>
      <c r="F188" s="2" t="str">
        <f>PROPER(TRIM(Raw_Data!E188))</f>
        <v>Office Supplies</v>
      </c>
      <c r="G188" s="2" t="str">
        <f>PROPER(TRIM(Raw_Data!F188))</f>
        <v>Pens</v>
      </c>
      <c r="H188" s="2" t="str">
        <f>Raw_Data!G188</f>
        <v>InkFlow Gel Pack5</v>
      </c>
      <c r="I188" s="2">
        <f>Raw_Data!H188</f>
        <v>1</v>
      </c>
      <c r="J188" s="4">
        <f>Raw_Data!I188</f>
        <v>115.41</v>
      </c>
      <c r="K188" s="4">
        <f>Raw_Data!J188</f>
        <v>51.93</v>
      </c>
      <c r="L188" s="5">
        <f>IF(Raw_Data!K188="",0,Raw_Data!K188)</f>
        <v>0</v>
      </c>
      <c r="M188" s="4">
        <f t="shared" si="9"/>
        <v>115.41</v>
      </c>
      <c r="N188" s="4">
        <f t="shared" si="10"/>
        <v>63.48</v>
      </c>
      <c r="O188" s="6">
        <f t="shared" si="11"/>
        <v>0.55003899142188717</v>
      </c>
    </row>
    <row r="189" spans="1:15" ht="15" customHeight="1" x14ac:dyDescent="0.3">
      <c r="A189" s="2">
        <f>Raw_Data!A189</f>
        <v>100188</v>
      </c>
      <c r="B189" s="3" t="e">
        <f>DATEVALUE(Raw_Data!B189)</f>
        <v>#VALUE!</v>
      </c>
      <c r="C189" s="2" t="e">
        <f t="shared" si="8"/>
        <v>#VALUE!</v>
      </c>
      <c r="D189" s="2" t="str">
        <f>PROPER(TRIM(Raw_Data!C189))</f>
        <v>Aditya Chopra</v>
      </c>
      <c r="E189" s="2" t="str">
        <f>PROPER(TRIM(Raw_Data!D189))</f>
        <v>East</v>
      </c>
      <c r="F189" s="2" t="str">
        <f>PROPER(TRIM(Raw_Data!E189))</f>
        <v>Electronics</v>
      </c>
      <c r="G189" s="2" t="str">
        <f>PROPER(TRIM(Raw_Data!F189))</f>
        <v>Laptops</v>
      </c>
      <c r="H189" s="2" t="str">
        <f>Raw_Data!G189</f>
        <v>ProBook 14</v>
      </c>
      <c r="I189" s="2">
        <f>Raw_Data!H189</f>
        <v>10</v>
      </c>
      <c r="J189" s="4">
        <f>Raw_Data!I189</f>
        <v>46872.47</v>
      </c>
      <c r="K189" s="4">
        <f>Raw_Data!J189</f>
        <v>30467.11</v>
      </c>
      <c r="L189" s="5">
        <f>IF(Raw_Data!K189="",0,Raw_Data!K189)</f>
        <v>0</v>
      </c>
      <c r="M189" s="4">
        <f t="shared" si="9"/>
        <v>468724.7</v>
      </c>
      <c r="N189" s="4">
        <f t="shared" si="10"/>
        <v>164053.6</v>
      </c>
      <c r="O189" s="6">
        <f t="shared" si="11"/>
        <v>0.34999990399481828</v>
      </c>
    </row>
    <row r="190" spans="1:15" ht="15" customHeight="1" x14ac:dyDescent="0.3">
      <c r="A190" s="2">
        <f>Raw_Data!A190</f>
        <v>100189</v>
      </c>
      <c r="B190" s="3" t="e">
        <f>DATEVALUE(Raw_Data!B190)</f>
        <v>#VALUE!</v>
      </c>
      <c r="C190" s="2" t="e">
        <f t="shared" si="8"/>
        <v>#VALUE!</v>
      </c>
      <c r="D190" s="2" t="str">
        <f>PROPER(TRIM(Raw_Data!C190))</f>
        <v>Arjun Agarwal</v>
      </c>
      <c r="E190" s="2" t="str">
        <f>PROPER(TRIM(Raw_Data!D190))</f>
        <v>West</v>
      </c>
      <c r="F190" s="2" t="str">
        <f>PROPER(TRIM(Raw_Data!E190))</f>
        <v>Clothing</v>
      </c>
      <c r="G190" s="2" t="str">
        <f>PROPER(TRIM(Raw_Data!F190))</f>
        <v>Shoes</v>
      </c>
      <c r="H190" s="2" t="str">
        <f>Raw_Data!G190</f>
        <v>WalkEase Casual</v>
      </c>
      <c r="I190" s="2">
        <f>Raw_Data!H190</f>
        <v>12</v>
      </c>
      <c r="J190" s="4">
        <f>Raw_Data!I190</f>
        <v>2044.28</v>
      </c>
      <c r="K190" s="4">
        <f>Raw_Data!J190</f>
        <v>1022.14</v>
      </c>
      <c r="L190" s="5">
        <f>IF(Raw_Data!K190="",0,Raw_Data!K190)</f>
        <v>0.15</v>
      </c>
      <c r="M190" s="4">
        <f t="shared" si="9"/>
        <v>20851.66</v>
      </c>
      <c r="N190" s="4">
        <f t="shared" si="10"/>
        <v>8585.98</v>
      </c>
      <c r="O190" s="6">
        <f t="shared" si="11"/>
        <v>0.41176481872426463</v>
      </c>
    </row>
    <row r="191" spans="1:15" ht="15" customHeight="1" x14ac:dyDescent="0.3">
      <c r="A191" s="2">
        <f>Raw_Data!A191</f>
        <v>100190</v>
      </c>
      <c r="B191" s="3">
        <f>DATEVALUE(Raw_Data!B191)</f>
        <v>45403</v>
      </c>
      <c r="C191" s="2" t="str">
        <f t="shared" si="8"/>
        <v>Apr-2024</v>
      </c>
      <c r="D191" s="2" t="str">
        <f>PROPER(TRIM(Raw_Data!C191))</f>
        <v>Meera Das</v>
      </c>
      <c r="E191" s="2" t="str">
        <f>PROPER(TRIM(Raw_Data!D191))</f>
        <v>West</v>
      </c>
      <c r="F191" s="2" t="str">
        <f>PROPER(TRIM(Raw_Data!E191))</f>
        <v>Electronics</v>
      </c>
      <c r="G191" s="2" t="str">
        <f>PROPER(TRIM(Raw_Data!F191))</f>
        <v>Headphones</v>
      </c>
      <c r="H191" s="2" t="str">
        <f>Raw_Data!G191</f>
        <v>StudioFit</v>
      </c>
      <c r="I191" s="2">
        <f>Raw_Data!H191</f>
        <v>6</v>
      </c>
      <c r="J191" s="4">
        <f>Raw_Data!I191</f>
        <v>3423.15</v>
      </c>
      <c r="K191" s="4">
        <f>Raw_Data!J191</f>
        <v>1711.58</v>
      </c>
      <c r="L191" s="5">
        <f>IF(Raw_Data!K191="",0,Raw_Data!K191)</f>
        <v>0.1</v>
      </c>
      <c r="M191" s="4">
        <f t="shared" si="9"/>
        <v>18485.009999999998</v>
      </c>
      <c r="N191" s="4">
        <f t="shared" si="10"/>
        <v>8215.5300000000007</v>
      </c>
      <c r="O191" s="6">
        <f t="shared" si="11"/>
        <v>0.44444282150780556</v>
      </c>
    </row>
    <row r="192" spans="1:15" ht="15" customHeight="1" x14ac:dyDescent="0.3">
      <c r="A192" s="2">
        <f>Raw_Data!A192</f>
        <v>100191</v>
      </c>
      <c r="B192" s="3">
        <f>DATEVALUE(Raw_Data!B192)</f>
        <v>45628</v>
      </c>
      <c r="C192" s="2" t="str">
        <f t="shared" si="8"/>
        <v>Dec-2024</v>
      </c>
      <c r="D192" s="2" t="str">
        <f>PROPER(TRIM(Raw_Data!C192))</f>
        <v>Nikhil Singh</v>
      </c>
      <c r="E192" s="2" t="str">
        <f>PROPER(TRIM(Raw_Data!D192))</f>
        <v>North</v>
      </c>
      <c r="F192" s="2" t="str">
        <f>PROPER(TRIM(Raw_Data!E192))</f>
        <v>Office Supplies</v>
      </c>
      <c r="G192" s="2" t="str">
        <f>PROPER(TRIM(Raw_Data!F192))</f>
        <v>Binders</v>
      </c>
      <c r="H192" s="2" t="str">
        <f>Raw_Data!G192</f>
        <v>RingFile A4</v>
      </c>
      <c r="I192" s="2">
        <f>Raw_Data!H192</f>
        <v>5</v>
      </c>
      <c r="J192" s="4">
        <f>Raw_Data!I192</f>
        <v>175.91</v>
      </c>
      <c r="K192" s="4">
        <f>Raw_Data!J192</f>
        <v>84.44</v>
      </c>
      <c r="L192" s="5">
        <f>IF(Raw_Data!K192="",0,Raw_Data!K192)</f>
        <v>0.15</v>
      </c>
      <c r="M192" s="4">
        <f t="shared" si="9"/>
        <v>747.62</v>
      </c>
      <c r="N192" s="4">
        <f t="shared" si="10"/>
        <v>325.42</v>
      </c>
      <c r="O192" s="6">
        <f t="shared" si="11"/>
        <v>0.43527460474572643</v>
      </c>
    </row>
    <row r="193" spans="1:15" ht="15" customHeight="1" x14ac:dyDescent="0.3">
      <c r="A193" s="2">
        <f>Raw_Data!A193</f>
        <v>100192</v>
      </c>
      <c r="B193" s="3">
        <f>DATEVALUE(Raw_Data!B193)</f>
        <v>45621</v>
      </c>
      <c r="C193" s="2" t="str">
        <f t="shared" si="8"/>
        <v>Nov-2024</v>
      </c>
      <c r="D193" s="2" t="str">
        <f>PROPER(TRIM(Raw_Data!C193))</f>
        <v>Rohan Bose</v>
      </c>
      <c r="E193" s="2" t="str">
        <f>PROPER(TRIM(Raw_Data!D193))</f>
        <v>West</v>
      </c>
      <c r="F193" s="2" t="str">
        <f>PROPER(TRIM(Raw_Data!E193))</f>
        <v>Office Supplies</v>
      </c>
      <c r="G193" s="2" t="str">
        <f>PROPER(TRIM(Raw_Data!F193))</f>
        <v>Binders</v>
      </c>
      <c r="H193" s="2" t="str">
        <f>Raw_Data!G193</f>
        <v>RingFile A4</v>
      </c>
      <c r="I193" s="2">
        <f>Raw_Data!H193</f>
        <v>8</v>
      </c>
      <c r="J193" s="4">
        <f>Raw_Data!I193</f>
        <v>189.46</v>
      </c>
      <c r="K193" s="4">
        <f>Raw_Data!J193</f>
        <v>90.94</v>
      </c>
      <c r="L193" s="5">
        <f>IF(Raw_Data!K193="",0,Raw_Data!K193)</f>
        <v>0.1</v>
      </c>
      <c r="M193" s="4">
        <f t="shared" si="9"/>
        <v>1364.11</v>
      </c>
      <c r="N193" s="4">
        <f t="shared" si="10"/>
        <v>636.59</v>
      </c>
      <c r="O193" s="6">
        <f t="shared" si="11"/>
        <v>0.46667057641979026</v>
      </c>
    </row>
    <row r="194" spans="1:15" ht="15" customHeight="1" x14ac:dyDescent="0.3">
      <c r="A194" s="2">
        <f>Raw_Data!A194</f>
        <v>100193</v>
      </c>
      <c r="B194" s="3" t="e">
        <f>DATEVALUE(Raw_Data!B194)</f>
        <v>#VALUE!</v>
      </c>
      <c r="C194" s="2" t="e">
        <f t="shared" ref="C194:C257" si="12">TEXT(B194,"mmm-yyyy")</f>
        <v>#VALUE!</v>
      </c>
      <c r="D194" s="2" t="str">
        <f>PROPER(TRIM(Raw_Data!C194))</f>
        <v>Karan Sharma</v>
      </c>
      <c r="E194" s="2" t="str">
        <f>PROPER(TRIM(Raw_Data!D194))</f>
        <v>South</v>
      </c>
      <c r="F194" s="2" t="str">
        <f>PROPER(TRIM(Raw_Data!E194))</f>
        <v>Clothing</v>
      </c>
      <c r="G194" s="2" t="str">
        <f>PROPER(TRIM(Raw_Data!F194))</f>
        <v>Jackets</v>
      </c>
      <c r="H194" s="2" t="str">
        <f>Raw_Data!G194</f>
        <v>WinterGuard</v>
      </c>
      <c r="I194" s="2">
        <f>Raw_Data!H194</f>
        <v>9</v>
      </c>
      <c r="J194" s="4">
        <f>Raw_Data!I194</f>
        <v>3002.83</v>
      </c>
      <c r="K194" s="4">
        <f>Raw_Data!J194</f>
        <v>1501.41</v>
      </c>
      <c r="L194" s="5">
        <f>IF(Raw_Data!K194="",0,Raw_Data!K194)</f>
        <v>0</v>
      </c>
      <c r="M194" s="4">
        <f t="shared" ref="M194:M257" si="13">ROUND(I194*J194*(1-L194),2)</f>
        <v>27025.47</v>
      </c>
      <c r="N194" s="4">
        <f t="shared" ref="N194:N257" si="14">ROUND(M194-(I194*K194),2)</f>
        <v>13512.78</v>
      </c>
      <c r="O194" s="6">
        <f t="shared" ref="O194:O257" si="15">IFERROR(N194/M194,0)</f>
        <v>0.50000166509592614</v>
      </c>
    </row>
    <row r="195" spans="1:15" ht="15" customHeight="1" x14ac:dyDescent="0.3">
      <c r="A195" s="2">
        <f>Raw_Data!A195</f>
        <v>100194</v>
      </c>
      <c r="B195" s="3" t="e">
        <f>DATEVALUE(Raw_Data!B195)</f>
        <v>#VALUE!</v>
      </c>
      <c r="C195" s="2" t="e">
        <f t="shared" si="12"/>
        <v>#VALUE!</v>
      </c>
      <c r="D195" s="2" t="str">
        <f>PROPER(TRIM(Raw_Data!C195))</f>
        <v>Kabir Verma</v>
      </c>
      <c r="E195" s="2" t="str">
        <f>PROPER(TRIM(Raw_Data!D195))</f>
        <v>South</v>
      </c>
      <c r="F195" s="2" t="str">
        <f>PROPER(TRIM(Raw_Data!E195))</f>
        <v>Clothing</v>
      </c>
      <c r="G195" s="2" t="str">
        <f>PROPER(TRIM(Raw_Data!F195))</f>
        <v>Shoes</v>
      </c>
      <c r="H195" s="2" t="str">
        <f>Raw_Data!G195</f>
        <v>RunFast Sport</v>
      </c>
      <c r="I195" s="2">
        <f>Raw_Data!H195</f>
        <v>5</v>
      </c>
      <c r="J195" s="4">
        <f>Raw_Data!I195</f>
        <v>2550.29</v>
      </c>
      <c r="K195" s="4">
        <f>Raw_Data!J195</f>
        <v>1224.1400000000001</v>
      </c>
      <c r="L195" s="5">
        <f>IF(Raw_Data!K195="",0,Raw_Data!K195)</f>
        <v>0</v>
      </c>
      <c r="M195" s="4">
        <f t="shared" si="13"/>
        <v>12751.45</v>
      </c>
      <c r="N195" s="4">
        <f t="shared" si="14"/>
        <v>6630.75</v>
      </c>
      <c r="O195" s="6">
        <f t="shared" si="15"/>
        <v>0.51999968631018434</v>
      </c>
    </row>
    <row r="196" spans="1:15" ht="15" customHeight="1" x14ac:dyDescent="0.3">
      <c r="A196" s="2">
        <f>Raw_Data!A196</f>
        <v>100195</v>
      </c>
      <c r="B196" s="3">
        <f>DATEVALUE(Raw_Data!B196)</f>
        <v>45567</v>
      </c>
      <c r="C196" s="2" t="str">
        <f t="shared" si="12"/>
        <v>Oct-2024</v>
      </c>
      <c r="D196" s="2" t="str">
        <f>PROPER(TRIM(Raw_Data!C196))</f>
        <v>Neha Das</v>
      </c>
      <c r="E196" s="2" t="str">
        <f>PROPER(TRIM(Raw_Data!D196))</f>
        <v>North</v>
      </c>
      <c r="F196" s="2" t="str">
        <f>PROPER(TRIM(Raw_Data!E196))</f>
        <v>Furniture</v>
      </c>
      <c r="G196" s="2" t="str">
        <f>PROPER(TRIM(Raw_Data!F196))</f>
        <v>Desks</v>
      </c>
      <c r="H196" s="2" t="str">
        <f>Raw_Data!G196</f>
        <v>CompactWork</v>
      </c>
      <c r="I196" s="2">
        <f>Raw_Data!H196</f>
        <v>5</v>
      </c>
      <c r="J196" s="4">
        <f>Raw_Data!I196</f>
        <v>4415.7700000000004</v>
      </c>
      <c r="K196" s="4">
        <f>Raw_Data!J196</f>
        <v>2870.25</v>
      </c>
      <c r="L196" s="5">
        <f>IF(Raw_Data!K196="",0,Raw_Data!K196)</f>
        <v>0.1</v>
      </c>
      <c r="M196" s="4">
        <f t="shared" si="13"/>
        <v>19870.97</v>
      </c>
      <c r="N196" s="4">
        <f t="shared" si="14"/>
        <v>5519.72</v>
      </c>
      <c r="O196" s="6">
        <f t="shared" si="15"/>
        <v>0.27777808531742537</v>
      </c>
    </row>
    <row r="197" spans="1:15" ht="15" customHeight="1" x14ac:dyDescent="0.3">
      <c r="A197" s="2">
        <f>Raw_Data!A197</f>
        <v>100196</v>
      </c>
      <c r="B197" s="3">
        <f>DATEVALUE(Raw_Data!B197)</f>
        <v>45431</v>
      </c>
      <c r="C197" s="2" t="str">
        <f t="shared" si="12"/>
        <v>May-2024</v>
      </c>
      <c r="D197" s="2" t="str">
        <f>PROPER(TRIM(Raw_Data!C197))</f>
        <v>Kabir Singh</v>
      </c>
      <c r="E197" s="2" t="str">
        <f>PROPER(TRIM(Raw_Data!D197))</f>
        <v>South</v>
      </c>
      <c r="F197" s="2" t="str">
        <f>PROPER(TRIM(Raw_Data!E197))</f>
        <v>Clothing</v>
      </c>
      <c r="G197" s="2" t="str">
        <f>PROPER(TRIM(Raw_Data!F197))</f>
        <v>T-Shirts</v>
      </c>
      <c r="H197" s="2" t="str">
        <f>Raw_Data!G197</f>
        <v>ActiveDry Sport</v>
      </c>
      <c r="I197" s="2">
        <f>Raw_Data!H197</f>
        <v>8</v>
      </c>
      <c r="J197" s="4">
        <f>Raw_Data!I197</f>
        <v>656.8</v>
      </c>
      <c r="K197" s="4">
        <f>Raw_Data!J197</f>
        <v>295.56</v>
      </c>
      <c r="L197" s="5">
        <f>IF(Raw_Data!K197="",0,Raw_Data!K197)</f>
        <v>0</v>
      </c>
      <c r="M197" s="4">
        <f t="shared" si="13"/>
        <v>5254.4</v>
      </c>
      <c r="N197" s="4">
        <f t="shared" si="14"/>
        <v>2889.92</v>
      </c>
      <c r="O197" s="6">
        <f t="shared" si="15"/>
        <v>0.55000000000000004</v>
      </c>
    </row>
    <row r="198" spans="1:15" ht="15" customHeight="1" x14ac:dyDescent="0.3">
      <c r="A198" s="2">
        <f>Raw_Data!A198</f>
        <v>100197</v>
      </c>
      <c r="B198" s="3">
        <f>DATEVALUE(Raw_Data!B198)</f>
        <v>45628</v>
      </c>
      <c r="C198" s="2" t="str">
        <f t="shared" si="12"/>
        <v>Dec-2024</v>
      </c>
      <c r="D198" s="2" t="str">
        <f>PROPER(TRIM(Raw_Data!C198))</f>
        <v>Ishaan Bose</v>
      </c>
      <c r="E198" s="2" t="str">
        <f>PROPER(TRIM(Raw_Data!D198))</f>
        <v>West</v>
      </c>
      <c r="F198" s="2" t="str">
        <f>PROPER(TRIM(Raw_Data!E198))</f>
        <v>Clothing</v>
      </c>
      <c r="G198" s="2" t="str">
        <f>PROPER(TRIM(Raw_Data!F198))</f>
        <v>Bags</v>
      </c>
      <c r="H198" s="2" t="str">
        <f>Raw_Data!G198</f>
        <v>CityCarry Backpack</v>
      </c>
      <c r="I198" s="2">
        <f>Raw_Data!H198</f>
        <v>8</v>
      </c>
      <c r="J198" s="4">
        <f>Raw_Data!I198</f>
        <v>1483.28</v>
      </c>
      <c r="K198" s="4">
        <f>Raw_Data!J198</f>
        <v>741.64</v>
      </c>
      <c r="L198" s="5">
        <f>IF(Raw_Data!K198="",0,Raw_Data!K198)</f>
        <v>0.1</v>
      </c>
      <c r="M198" s="4">
        <f t="shared" si="13"/>
        <v>10679.62</v>
      </c>
      <c r="N198" s="4">
        <f t="shared" si="14"/>
        <v>4746.5</v>
      </c>
      <c r="O198" s="6">
        <f t="shared" si="15"/>
        <v>0.4444446525250898</v>
      </c>
    </row>
    <row r="199" spans="1:15" ht="15" customHeight="1" x14ac:dyDescent="0.3">
      <c r="A199" s="2">
        <f>Raw_Data!A199</f>
        <v>100198</v>
      </c>
      <c r="B199" s="3">
        <f>DATEVALUE(Raw_Data!B199)</f>
        <v>45353</v>
      </c>
      <c r="C199" s="2" t="str">
        <f t="shared" si="12"/>
        <v>Mar-2024</v>
      </c>
      <c r="D199" s="2" t="str">
        <f>PROPER(TRIM(Raw_Data!C199))</f>
        <v>Rahul Malhotra</v>
      </c>
      <c r="E199" s="2" t="str">
        <f>PROPER(TRIM(Raw_Data!D199))</f>
        <v>West</v>
      </c>
      <c r="F199" s="2" t="str">
        <f>PROPER(TRIM(Raw_Data!E199))</f>
        <v>Furniture</v>
      </c>
      <c r="G199" s="2" t="str">
        <f>PROPER(TRIM(Raw_Data!F199))</f>
        <v>Desks</v>
      </c>
      <c r="H199" s="2" t="str">
        <f>Raw_Data!G199</f>
        <v>CompactWork</v>
      </c>
      <c r="I199" s="2">
        <f>Raw_Data!H199</f>
        <v>5</v>
      </c>
      <c r="J199" s="4">
        <f>Raw_Data!I199</f>
        <v>4065.43</v>
      </c>
      <c r="K199" s="4">
        <f>Raw_Data!J199</f>
        <v>2642.53</v>
      </c>
      <c r="L199" s="5">
        <f>IF(Raw_Data!K199="",0,Raw_Data!K199)</f>
        <v>0.15</v>
      </c>
      <c r="M199" s="4">
        <f t="shared" si="13"/>
        <v>17278.080000000002</v>
      </c>
      <c r="N199" s="4">
        <f t="shared" si="14"/>
        <v>4065.43</v>
      </c>
      <c r="O199" s="6">
        <f t="shared" si="15"/>
        <v>0.23529408360188167</v>
      </c>
    </row>
    <row r="200" spans="1:15" ht="15" customHeight="1" x14ac:dyDescent="0.3">
      <c r="A200" s="2">
        <f>Raw_Data!A200</f>
        <v>100199</v>
      </c>
      <c r="B200" s="3">
        <f>DATEVALUE(Raw_Data!B200)</f>
        <v>45326</v>
      </c>
      <c r="C200" s="2" t="str">
        <f t="shared" si="12"/>
        <v>Feb-2024</v>
      </c>
      <c r="D200" s="2" t="str">
        <f>PROPER(TRIM(Raw_Data!C200))</f>
        <v>Nikhil Mehta</v>
      </c>
      <c r="E200" s="2" t="str">
        <f>PROPER(TRIM(Raw_Data!D200))</f>
        <v>West</v>
      </c>
      <c r="F200" s="2" t="str">
        <f>PROPER(TRIM(Raw_Data!E200))</f>
        <v>Electronics</v>
      </c>
      <c r="G200" s="2" t="str">
        <f>PROPER(TRIM(Raw_Data!F200))</f>
        <v>Keyboards</v>
      </c>
      <c r="H200" s="2" t="str">
        <f>Raw_Data!G200</f>
        <v>ClickType Mech</v>
      </c>
      <c r="I200" s="2">
        <f>Raw_Data!H200</f>
        <v>3</v>
      </c>
      <c r="J200" s="4">
        <f>Raw_Data!I200</f>
        <v>2252.0500000000002</v>
      </c>
      <c r="K200" s="4">
        <f>Raw_Data!J200</f>
        <v>1238.6300000000001</v>
      </c>
      <c r="L200" s="5">
        <f>IF(Raw_Data!K200="",0,Raw_Data!K200)</f>
        <v>0.1</v>
      </c>
      <c r="M200" s="4">
        <f t="shared" si="13"/>
        <v>6080.54</v>
      </c>
      <c r="N200" s="4">
        <f t="shared" si="14"/>
        <v>2364.65</v>
      </c>
      <c r="O200" s="6">
        <f t="shared" si="15"/>
        <v>0.38888815795965492</v>
      </c>
    </row>
    <row r="201" spans="1:15" ht="15" customHeight="1" x14ac:dyDescent="0.3">
      <c r="A201" s="2">
        <f>Raw_Data!A201</f>
        <v>100200</v>
      </c>
      <c r="B201" s="3" t="e">
        <f>DATEVALUE(Raw_Data!B201)</f>
        <v>#VALUE!</v>
      </c>
      <c r="C201" s="2" t="e">
        <f t="shared" si="12"/>
        <v>#VALUE!</v>
      </c>
      <c r="D201" s="2" t="str">
        <f>PROPER(TRIM(Raw_Data!C201))</f>
        <v>Vivaan Malhotra</v>
      </c>
      <c r="E201" s="2" t="str">
        <f>PROPER(TRIM(Raw_Data!D201))</f>
        <v>West</v>
      </c>
      <c r="F201" s="2" t="str">
        <f>PROPER(TRIM(Raw_Data!E201))</f>
        <v>Electronics</v>
      </c>
      <c r="G201" s="2" t="str">
        <f>PROPER(TRIM(Raw_Data!F201))</f>
        <v>Headphones</v>
      </c>
      <c r="H201" s="2" t="str">
        <f>Raw_Data!G201</f>
        <v>BassBeat Mini</v>
      </c>
      <c r="I201" s="2">
        <f>Raw_Data!H201</f>
        <v>7</v>
      </c>
      <c r="J201" s="4">
        <f>Raw_Data!I201</f>
        <v>1162.44</v>
      </c>
      <c r="K201" s="4">
        <f>Raw_Data!J201</f>
        <v>697.46</v>
      </c>
      <c r="L201" s="5">
        <f>IF(Raw_Data!K201="",0,Raw_Data!K201)</f>
        <v>0.1</v>
      </c>
      <c r="M201" s="4">
        <f t="shared" si="13"/>
        <v>7323.37</v>
      </c>
      <c r="N201" s="4">
        <f t="shared" si="14"/>
        <v>2441.15</v>
      </c>
      <c r="O201" s="6">
        <f t="shared" si="15"/>
        <v>0.33333697464418705</v>
      </c>
    </row>
    <row r="202" spans="1:15" ht="15" customHeight="1" x14ac:dyDescent="0.3">
      <c r="A202" s="2">
        <f>Raw_Data!A202</f>
        <v>100201</v>
      </c>
      <c r="B202" s="3">
        <f>DATEVALUE(Raw_Data!B202)</f>
        <v>45648</v>
      </c>
      <c r="C202" s="2" t="str">
        <f t="shared" si="12"/>
        <v>Dec-2024</v>
      </c>
      <c r="D202" s="2" t="str">
        <f>PROPER(TRIM(Raw_Data!C202))</f>
        <v>Yash Nair</v>
      </c>
      <c r="E202" s="2" t="str">
        <f>PROPER(TRIM(Raw_Data!D202))</f>
        <v>North</v>
      </c>
      <c r="F202" s="2" t="str">
        <f>PROPER(TRIM(Raw_Data!E202))</f>
        <v>Office Supplies</v>
      </c>
      <c r="G202" s="2" t="str">
        <f>PROPER(TRIM(Raw_Data!F202))</f>
        <v>Staplers</v>
      </c>
      <c r="H202" s="2" t="str">
        <f>Raw_Data!G202</f>
        <v>HeavyDuty Pro</v>
      </c>
      <c r="I202" s="2">
        <f>Raw_Data!H202</f>
        <v>5</v>
      </c>
      <c r="J202" s="4">
        <f>Raw_Data!I202</f>
        <v>508.59</v>
      </c>
      <c r="K202" s="4">
        <f>Raw_Data!J202</f>
        <v>254.3</v>
      </c>
      <c r="L202" s="5">
        <f>IF(Raw_Data!K202="",0,Raw_Data!K202)</f>
        <v>0.2</v>
      </c>
      <c r="M202" s="4">
        <f t="shared" si="13"/>
        <v>2034.36</v>
      </c>
      <c r="N202" s="4">
        <f t="shared" si="14"/>
        <v>762.86</v>
      </c>
      <c r="O202" s="6">
        <f t="shared" si="15"/>
        <v>0.37498771112290846</v>
      </c>
    </row>
    <row r="203" spans="1:15" ht="15" customHeight="1" x14ac:dyDescent="0.3">
      <c r="A203" s="2">
        <f>Raw_Data!A203</f>
        <v>100202</v>
      </c>
      <c r="B203" s="3" t="e">
        <f>DATEVALUE(Raw_Data!B203)</f>
        <v>#VALUE!</v>
      </c>
      <c r="C203" s="2" t="e">
        <f t="shared" si="12"/>
        <v>#VALUE!</v>
      </c>
      <c r="D203" s="2" t="str">
        <f>PROPER(TRIM(Raw_Data!C203))</f>
        <v>Simran Verma</v>
      </c>
      <c r="E203" s="2" t="str">
        <f>PROPER(TRIM(Raw_Data!D203))</f>
        <v>North</v>
      </c>
      <c r="F203" s="2" t="str">
        <f>PROPER(TRIM(Raw_Data!E203))</f>
        <v>Furniture</v>
      </c>
      <c r="G203" s="2" t="str">
        <f>PROPER(TRIM(Raw_Data!F203))</f>
        <v>Cabinets</v>
      </c>
      <c r="H203" s="2" t="str">
        <f>Raw_Data!G203</f>
        <v>FileSafe Steel</v>
      </c>
      <c r="I203" s="2">
        <f>Raw_Data!H203</f>
        <v>7</v>
      </c>
      <c r="J203" s="4">
        <f>Raw_Data!I203</f>
        <v>5859.41</v>
      </c>
      <c r="K203" s="4">
        <f>Raw_Data!J203</f>
        <v>3515.64</v>
      </c>
      <c r="L203" s="5">
        <f>IF(Raw_Data!K203="",0,Raw_Data!K203)</f>
        <v>0.2</v>
      </c>
      <c r="M203" s="4">
        <f t="shared" si="13"/>
        <v>32812.699999999997</v>
      </c>
      <c r="N203" s="4">
        <f t="shared" si="14"/>
        <v>8203.2199999999993</v>
      </c>
      <c r="O203" s="6">
        <f t="shared" si="15"/>
        <v>0.25000137142021228</v>
      </c>
    </row>
    <row r="204" spans="1:15" ht="15" customHeight="1" x14ac:dyDescent="0.3">
      <c r="A204" s="2">
        <f>Raw_Data!A204</f>
        <v>100203</v>
      </c>
      <c r="B204" s="3" t="e">
        <f>DATEVALUE(Raw_Data!B204)</f>
        <v>#VALUE!</v>
      </c>
      <c r="C204" s="2" t="e">
        <f t="shared" si="12"/>
        <v>#VALUE!</v>
      </c>
      <c r="D204" s="2" t="str">
        <f>PROPER(TRIM(Raw_Data!C204))</f>
        <v>Karan Iyer</v>
      </c>
      <c r="E204" s="2" t="str">
        <f>PROPER(TRIM(Raw_Data!D204))</f>
        <v>North</v>
      </c>
      <c r="F204" s="2" t="str">
        <f>PROPER(TRIM(Raw_Data!E204))</f>
        <v>Furniture</v>
      </c>
      <c r="G204" s="2" t="str">
        <f>PROPER(TRIM(Raw_Data!F204))</f>
        <v>Desks</v>
      </c>
      <c r="H204" s="2" t="str">
        <f>Raw_Data!G204</f>
        <v>StudyMax L</v>
      </c>
      <c r="I204" s="2">
        <f>Raw_Data!H204</f>
        <v>1</v>
      </c>
      <c r="J204" s="4">
        <f>Raw_Data!I204</f>
        <v>6091.09</v>
      </c>
      <c r="K204" s="4">
        <f>Raw_Data!J204</f>
        <v>3654.65</v>
      </c>
      <c r="L204" s="5">
        <f>IF(Raw_Data!K204="",0,Raw_Data!K204)</f>
        <v>0.1</v>
      </c>
      <c r="M204" s="4">
        <f t="shared" si="13"/>
        <v>5481.98</v>
      </c>
      <c r="N204" s="4">
        <f t="shared" si="14"/>
        <v>1827.33</v>
      </c>
      <c r="O204" s="6">
        <f t="shared" si="15"/>
        <v>0.33333394138614153</v>
      </c>
    </row>
    <row r="205" spans="1:15" ht="15" customHeight="1" x14ac:dyDescent="0.3">
      <c r="A205" s="2">
        <f>Raw_Data!A205</f>
        <v>100204</v>
      </c>
      <c r="B205" s="3">
        <f>DATEVALUE(Raw_Data!B205)</f>
        <v>45449</v>
      </c>
      <c r="C205" s="2" t="str">
        <f t="shared" si="12"/>
        <v>Jun-2024</v>
      </c>
      <c r="D205" s="2" t="str">
        <f>PROPER(TRIM(Raw_Data!C205))</f>
        <v>Tanvi Gupta</v>
      </c>
      <c r="E205" s="2" t="str">
        <f>PROPER(TRIM(Raw_Data!D205))</f>
        <v>East</v>
      </c>
      <c r="F205" s="2" t="str">
        <f>PROPER(TRIM(Raw_Data!E205))</f>
        <v>Clothing</v>
      </c>
      <c r="G205" s="2" t="str">
        <f>PROPER(TRIM(Raw_Data!F205))</f>
        <v>Bags</v>
      </c>
      <c r="H205" s="2" t="str">
        <f>Raw_Data!G205</f>
        <v>CityCarry Backpack</v>
      </c>
      <c r="I205" s="2">
        <f>Raw_Data!H205</f>
        <v>8</v>
      </c>
      <c r="J205" s="4">
        <f>Raw_Data!I205</f>
        <v>1539.44</v>
      </c>
      <c r="K205" s="4">
        <f>Raw_Data!J205</f>
        <v>769.72</v>
      </c>
      <c r="L205" s="5">
        <f>IF(Raw_Data!K205="",0,Raw_Data!K205)</f>
        <v>0.05</v>
      </c>
      <c r="M205" s="4">
        <f t="shared" si="13"/>
        <v>11699.74</v>
      </c>
      <c r="N205" s="4">
        <f t="shared" si="14"/>
        <v>5541.98</v>
      </c>
      <c r="O205" s="6">
        <f t="shared" si="15"/>
        <v>0.47368403058529501</v>
      </c>
    </row>
    <row r="206" spans="1:15" ht="15" customHeight="1" x14ac:dyDescent="0.3">
      <c r="A206" s="2">
        <f>Raw_Data!A206</f>
        <v>100205</v>
      </c>
      <c r="B206" s="3">
        <f>DATEVALUE(Raw_Data!B206)</f>
        <v>45302</v>
      </c>
      <c r="C206" s="2" t="str">
        <f t="shared" si="12"/>
        <v>Jan-2024</v>
      </c>
      <c r="D206" s="2" t="str">
        <f>PROPER(TRIM(Raw_Data!C206))</f>
        <v>Meera Patel</v>
      </c>
      <c r="E206" s="2" t="str">
        <f>PROPER(TRIM(Raw_Data!D206))</f>
        <v>South</v>
      </c>
      <c r="F206" s="2" t="str">
        <f>PROPER(TRIM(Raw_Data!E206))</f>
        <v>Furniture</v>
      </c>
      <c r="G206" s="2" t="str">
        <f>PROPER(TRIM(Raw_Data!F206))</f>
        <v>Bookshelves</v>
      </c>
      <c r="H206" s="2" t="str">
        <f>Raw_Data!G206</f>
        <v>MetalFrame Open</v>
      </c>
      <c r="I206" s="2">
        <f>Raw_Data!H206</f>
        <v>9</v>
      </c>
      <c r="J206" s="4">
        <f>Raw_Data!I206</f>
        <v>2762.56</v>
      </c>
      <c r="K206" s="4">
        <f>Raw_Data!J206</f>
        <v>1712.79</v>
      </c>
      <c r="L206" s="5">
        <f>IF(Raw_Data!K206="",0,Raw_Data!K206)</f>
        <v>0.2</v>
      </c>
      <c r="M206" s="4">
        <f t="shared" si="13"/>
        <v>19890.43</v>
      </c>
      <c r="N206" s="4">
        <f t="shared" si="14"/>
        <v>4475.32</v>
      </c>
      <c r="O206" s="6">
        <f t="shared" si="15"/>
        <v>0.22499865513214143</v>
      </c>
    </row>
    <row r="207" spans="1:15" ht="15" customHeight="1" x14ac:dyDescent="0.3">
      <c r="A207" s="2">
        <f>Raw_Data!A207</f>
        <v>100206</v>
      </c>
      <c r="B207" s="3" t="e">
        <f>DATEVALUE(Raw_Data!B207)</f>
        <v>#VALUE!</v>
      </c>
      <c r="C207" s="2" t="e">
        <f t="shared" si="12"/>
        <v>#VALUE!</v>
      </c>
      <c r="D207" s="2" t="str">
        <f>PROPER(TRIM(Raw_Data!C207))</f>
        <v>Vikram Singh</v>
      </c>
      <c r="E207" s="2" t="str">
        <f>PROPER(TRIM(Raw_Data!D207))</f>
        <v>East</v>
      </c>
      <c r="F207" s="2" t="str">
        <f>PROPER(TRIM(Raw_Data!E207))</f>
        <v>Clothing</v>
      </c>
      <c r="G207" s="2" t="str">
        <f>PROPER(TRIM(Raw_Data!F207))</f>
        <v>Bags</v>
      </c>
      <c r="H207" s="2" t="str">
        <f>Raw_Data!G207</f>
        <v>TravelMax Duffel</v>
      </c>
      <c r="I207" s="2">
        <f>Raw_Data!H207</f>
        <v>8</v>
      </c>
      <c r="J207" s="4">
        <f>Raw_Data!I207</f>
        <v>1768.97</v>
      </c>
      <c r="K207" s="4">
        <f>Raw_Data!J207</f>
        <v>884.48</v>
      </c>
      <c r="L207" s="5">
        <f>IF(Raw_Data!K207="",0,Raw_Data!K207)</f>
        <v>0</v>
      </c>
      <c r="M207" s="4">
        <f t="shared" si="13"/>
        <v>14151.76</v>
      </c>
      <c r="N207" s="4">
        <f t="shared" si="14"/>
        <v>7075.92</v>
      </c>
      <c r="O207" s="6">
        <f t="shared" si="15"/>
        <v>0.50000282650355854</v>
      </c>
    </row>
    <row r="208" spans="1:15" ht="15" customHeight="1" x14ac:dyDescent="0.3">
      <c r="A208" s="2">
        <f>Raw_Data!A208</f>
        <v>100207</v>
      </c>
      <c r="B208" s="3">
        <f>DATEVALUE(Raw_Data!B208)</f>
        <v>45607</v>
      </c>
      <c r="C208" s="2" t="str">
        <f t="shared" si="12"/>
        <v>Nov-2024</v>
      </c>
      <c r="D208" s="2" t="str">
        <f>PROPER(TRIM(Raw_Data!C208))</f>
        <v>Riya Mehta</v>
      </c>
      <c r="E208" s="2" t="str">
        <f>PROPER(TRIM(Raw_Data!D208))</f>
        <v>East</v>
      </c>
      <c r="F208" s="2" t="str">
        <f>PROPER(TRIM(Raw_Data!E208))</f>
        <v>Office Supplies</v>
      </c>
      <c r="G208" s="2" t="str">
        <f>PROPER(TRIM(Raw_Data!F208))</f>
        <v>Paper</v>
      </c>
      <c r="H208" s="2" t="str">
        <f>Raw_Data!G208</f>
        <v>CopyMax A4 Ream</v>
      </c>
      <c r="I208" s="2">
        <f>Raw_Data!H208</f>
        <v>2</v>
      </c>
      <c r="J208" s="4">
        <f>Raw_Data!I208</f>
        <v>248.43</v>
      </c>
      <c r="K208" s="4">
        <f>Raw_Data!J208</f>
        <v>124.21</v>
      </c>
      <c r="L208" s="5">
        <f>IF(Raw_Data!K208="",0,Raw_Data!K208)</f>
        <v>0.05</v>
      </c>
      <c r="M208" s="4">
        <f t="shared" si="13"/>
        <v>472.02</v>
      </c>
      <c r="N208" s="4">
        <f t="shared" si="14"/>
        <v>223.6</v>
      </c>
      <c r="O208" s="6">
        <f t="shared" si="15"/>
        <v>0.47370874115503581</v>
      </c>
    </row>
    <row r="209" spans="1:15" ht="15" customHeight="1" x14ac:dyDescent="0.3">
      <c r="A209" s="2">
        <f>Raw_Data!A209</f>
        <v>100208</v>
      </c>
      <c r="B209" s="3" t="e">
        <f>DATEVALUE(Raw_Data!B209)</f>
        <v>#VALUE!</v>
      </c>
      <c r="C209" s="2" t="e">
        <f t="shared" si="12"/>
        <v>#VALUE!</v>
      </c>
      <c r="D209" s="2" t="str">
        <f>PROPER(TRIM(Raw_Data!C209))</f>
        <v>Myra Malhotra</v>
      </c>
      <c r="E209" s="2" t="str">
        <f>PROPER(TRIM(Raw_Data!D209))</f>
        <v>West</v>
      </c>
      <c r="F209" s="2" t="str">
        <f>PROPER(TRIM(Raw_Data!E209))</f>
        <v>Office Supplies</v>
      </c>
      <c r="G209" s="2" t="str">
        <f>PROPER(TRIM(Raw_Data!F209))</f>
        <v>Pens</v>
      </c>
      <c r="H209" s="2" t="str">
        <f>Raw_Data!G209</f>
        <v>WriteSmooth Pack10</v>
      </c>
      <c r="I209" s="2">
        <f>Raw_Data!H209</f>
        <v>11</v>
      </c>
      <c r="J209" s="4">
        <f>Raw_Data!I209</f>
        <v>152.19999999999999</v>
      </c>
      <c r="K209" s="4">
        <f>Raw_Data!J209</f>
        <v>68.489999999999995</v>
      </c>
      <c r="L209" s="5">
        <f>IF(Raw_Data!K209="",0,Raw_Data!K209)</f>
        <v>0.05</v>
      </c>
      <c r="M209" s="4">
        <f t="shared" si="13"/>
        <v>1590.49</v>
      </c>
      <c r="N209" s="4">
        <f t="shared" si="14"/>
        <v>837.1</v>
      </c>
      <c r="O209" s="6">
        <f t="shared" si="15"/>
        <v>0.52631578947368418</v>
      </c>
    </row>
    <row r="210" spans="1:15" ht="15" customHeight="1" x14ac:dyDescent="0.3">
      <c r="A210" s="2">
        <f>Raw_Data!A210</f>
        <v>100209</v>
      </c>
      <c r="B210" s="3">
        <f>DATEVALUE(Raw_Data!B210)</f>
        <v>45387</v>
      </c>
      <c r="C210" s="2" t="str">
        <f t="shared" si="12"/>
        <v>Apr-2024</v>
      </c>
      <c r="D210" s="2" t="str">
        <f>PROPER(TRIM(Raw_Data!C210))</f>
        <v>Kabir Joshi</v>
      </c>
      <c r="E210" s="2" t="str">
        <f>PROPER(TRIM(Raw_Data!D210))</f>
        <v>West</v>
      </c>
      <c r="F210" s="2" t="str">
        <f>PROPER(TRIM(Raw_Data!E210))</f>
        <v>Office Supplies</v>
      </c>
      <c r="G210" s="2" t="str">
        <f>PROPER(TRIM(Raw_Data!F210))</f>
        <v>Staplers</v>
      </c>
      <c r="H210" s="2" t="str">
        <f>Raw_Data!G210</f>
        <v>ClickFix Standard</v>
      </c>
      <c r="I210" s="2">
        <f>Raw_Data!H210</f>
        <v>11</v>
      </c>
      <c r="J210" s="4">
        <f>Raw_Data!I210</f>
        <v>234.07</v>
      </c>
      <c r="K210" s="4">
        <f>Raw_Data!J210</f>
        <v>117.03</v>
      </c>
      <c r="L210" s="5">
        <f>IF(Raw_Data!K210="",0,Raw_Data!K210)</f>
        <v>0</v>
      </c>
      <c r="M210" s="4">
        <f t="shared" si="13"/>
        <v>2574.77</v>
      </c>
      <c r="N210" s="4">
        <f t="shared" si="14"/>
        <v>1287.44</v>
      </c>
      <c r="O210" s="6">
        <f t="shared" si="15"/>
        <v>0.50002136113128559</v>
      </c>
    </row>
    <row r="211" spans="1:15" ht="15" customHeight="1" x14ac:dyDescent="0.3">
      <c r="A211" s="2">
        <f>Raw_Data!A211</f>
        <v>100210</v>
      </c>
      <c r="B211" s="3">
        <f>DATEVALUE(Raw_Data!B211)</f>
        <v>45541</v>
      </c>
      <c r="C211" s="2" t="str">
        <f t="shared" si="12"/>
        <v>Sep-2024</v>
      </c>
      <c r="D211" s="2" t="str">
        <f>PROPER(TRIM(Raw_Data!C211))</f>
        <v>Kiara Singh</v>
      </c>
      <c r="E211" s="2" t="str">
        <f>PROPER(TRIM(Raw_Data!D211))</f>
        <v>South</v>
      </c>
      <c r="F211" s="2" t="str">
        <f>PROPER(TRIM(Raw_Data!E211))</f>
        <v>Office Supplies</v>
      </c>
      <c r="G211" s="2" t="str">
        <f>PROPER(TRIM(Raw_Data!F211))</f>
        <v>Pens</v>
      </c>
      <c r="H211" s="2" t="str">
        <f>Raw_Data!G211</f>
        <v>InkFlow Gel Pack5</v>
      </c>
      <c r="I211" s="2">
        <f>Raw_Data!H211</f>
        <v>7</v>
      </c>
      <c r="J211" s="4">
        <f>Raw_Data!I211</f>
        <v>126.29</v>
      </c>
      <c r="K211" s="4">
        <f>Raw_Data!J211</f>
        <v>56.83</v>
      </c>
      <c r="L211" s="5">
        <f>IF(Raw_Data!K211="",0,Raw_Data!K211)</f>
        <v>0.05</v>
      </c>
      <c r="M211" s="4">
        <f t="shared" si="13"/>
        <v>839.83</v>
      </c>
      <c r="N211" s="4">
        <f t="shared" si="14"/>
        <v>442.02</v>
      </c>
      <c r="O211" s="6">
        <f t="shared" si="15"/>
        <v>0.52632080301965867</v>
      </c>
    </row>
    <row r="212" spans="1:15" ht="15" customHeight="1" x14ac:dyDescent="0.3">
      <c r="A212" s="2">
        <f>Raw_Data!A212</f>
        <v>100211</v>
      </c>
      <c r="B212" s="3">
        <f>DATEVALUE(Raw_Data!B212)</f>
        <v>45476</v>
      </c>
      <c r="C212" s="2" t="str">
        <f t="shared" si="12"/>
        <v>Jul-2024</v>
      </c>
      <c r="D212" s="2" t="str">
        <f>PROPER(TRIM(Raw_Data!C212))</f>
        <v>Aadhya Agarwal</v>
      </c>
      <c r="E212" s="2" t="str">
        <f>PROPER(TRIM(Raw_Data!D212))</f>
        <v>North</v>
      </c>
      <c r="F212" s="2" t="str">
        <f>PROPER(TRIM(Raw_Data!E212))</f>
        <v>Clothing</v>
      </c>
      <c r="G212" s="2" t="str">
        <f>PROPER(TRIM(Raw_Data!F212))</f>
        <v>Shoes</v>
      </c>
      <c r="H212" s="2" t="str">
        <f>Raw_Data!G212</f>
        <v>RunFast Sport</v>
      </c>
      <c r="I212" s="2">
        <f>Raw_Data!H212</f>
        <v>1</v>
      </c>
      <c r="J212" s="4">
        <f>Raw_Data!I212</f>
        <v>2764.35</v>
      </c>
      <c r="K212" s="4">
        <f>Raw_Data!J212</f>
        <v>1326.89</v>
      </c>
      <c r="L212" s="5">
        <f>IF(Raw_Data!K212="",0,Raw_Data!K212)</f>
        <v>0</v>
      </c>
      <c r="M212" s="4">
        <f t="shared" si="13"/>
        <v>2764.35</v>
      </c>
      <c r="N212" s="4">
        <f t="shared" si="14"/>
        <v>1437.46</v>
      </c>
      <c r="O212" s="6">
        <f t="shared" si="15"/>
        <v>0.51999927650261368</v>
      </c>
    </row>
    <row r="213" spans="1:15" ht="15" customHeight="1" x14ac:dyDescent="0.3">
      <c r="A213" s="2">
        <f>Raw_Data!A213</f>
        <v>100212</v>
      </c>
      <c r="B213" s="3">
        <f>DATEVALUE(Raw_Data!B213)</f>
        <v>45370</v>
      </c>
      <c r="C213" s="2" t="str">
        <f t="shared" si="12"/>
        <v>Mar-2024</v>
      </c>
      <c r="D213" s="2" t="str">
        <f>PROPER(TRIM(Raw_Data!C213))</f>
        <v>Neha Gupta</v>
      </c>
      <c r="E213" s="2" t="str">
        <f>PROPER(TRIM(Raw_Data!D213))</f>
        <v>East</v>
      </c>
      <c r="F213" s="2" t="str">
        <f>PROPER(TRIM(Raw_Data!E213))</f>
        <v>Furniture</v>
      </c>
      <c r="G213" s="2" t="str">
        <f>PROPER(TRIM(Raw_Data!F213))</f>
        <v>Bookshelves</v>
      </c>
      <c r="H213" s="2" t="str">
        <f>Raw_Data!G213</f>
        <v>WoodCraft 5-Tier</v>
      </c>
      <c r="I213" s="2">
        <f>Raw_Data!H213</f>
        <v>1</v>
      </c>
      <c r="J213" s="4">
        <f>Raw_Data!I213</f>
        <v>3429.81</v>
      </c>
      <c r="K213" s="4">
        <f>Raw_Data!J213</f>
        <v>2057.88</v>
      </c>
      <c r="L213" s="5">
        <f>IF(Raw_Data!K213="",0,Raw_Data!K213)</f>
        <v>0</v>
      </c>
      <c r="M213" s="4">
        <f t="shared" si="13"/>
        <v>3429.81</v>
      </c>
      <c r="N213" s="4">
        <f t="shared" si="14"/>
        <v>1371.93</v>
      </c>
      <c r="O213" s="6">
        <f t="shared" si="15"/>
        <v>0.40000174936804084</v>
      </c>
    </row>
    <row r="214" spans="1:15" ht="15" customHeight="1" x14ac:dyDescent="0.3">
      <c r="A214" s="2">
        <f>Raw_Data!A214</f>
        <v>100213</v>
      </c>
      <c r="B214" s="3">
        <f>DATEVALUE(Raw_Data!B214)</f>
        <v>45312</v>
      </c>
      <c r="C214" s="2" t="str">
        <f t="shared" si="12"/>
        <v>Jan-2024</v>
      </c>
      <c r="D214" s="2" t="str">
        <f>PROPER(TRIM(Raw_Data!C214))</f>
        <v>Arjun Chopra</v>
      </c>
      <c r="E214" s="2" t="str">
        <f>PROPER(TRIM(Raw_Data!D214))</f>
        <v>South</v>
      </c>
      <c r="F214" s="2" t="str">
        <f>PROPER(TRIM(Raw_Data!E214))</f>
        <v>Office Supplies</v>
      </c>
      <c r="G214" s="2" t="str">
        <f>PROPER(TRIM(Raw_Data!F214))</f>
        <v>Paper</v>
      </c>
      <c r="H214" s="2" t="str">
        <f>Raw_Data!G214</f>
        <v>CopyMax A4 Ream</v>
      </c>
      <c r="I214" s="2">
        <f>Raw_Data!H214</f>
        <v>9</v>
      </c>
      <c r="J214" s="4">
        <f>Raw_Data!I214</f>
        <v>243.69</v>
      </c>
      <c r="K214" s="4">
        <f>Raw_Data!J214</f>
        <v>121.85</v>
      </c>
      <c r="L214" s="5">
        <f>IF(Raw_Data!K214="",0,Raw_Data!K214)</f>
        <v>0.15</v>
      </c>
      <c r="M214" s="4">
        <f t="shared" si="13"/>
        <v>1864.23</v>
      </c>
      <c r="N214" s="4">
        <f t="shared" si="14"/>
        <v>767.58</v>
      </c>
      <c r="O214" s="6">
        <f t="shared" si="15"/>
        <v>0.41174104053684363</v>
      </c>
    </row>
    <row r="215" spans="1:15" ht="15" customHeight="1" x14ac:dyDescent="0.3">
      <c r="A215" s="2">
        <f>Raw_Data!A215</f>
        <v>100214</v>
      </c>
      <c r="B215" s="3">
        <f>DATEVALUE(Raw_Data!B215)</f>
        <v>45516</v>
      </c>
      <c r="C215" s="2" t="str">
        <f t="shared" si="12"/>
        <v>Aug-2024</v>
      </c>
      <c r="D215" s="2" t="str">
        <f>PROPER(TRIM(Raw_Data!C215))</f>
        <v>Rohan Malhotra</v>
      </c>
      <c r="E215" s="2" t="str">
        <f>PROPER(TRIM(Raw_Data!D215))</f>
        <v>East</v>
      </c>
      <c r="F215" s="2" t="str">
        <f>PROPER(TRIM(Raw_Data!E215))</f>
        <v>Clothing</v>
      </c>
      <c r="G215" s="2" t="str">
        <f>PROPER(TRIM(Raw_Data!F215))</f>
        <v>Shoes</v>
      </c>
      <c r="H215" s="2" t="str">
        <f>Raw_Data!G215</f>
        <v>RunFast Sport</v>
      </c>
      <c r="I215" s="2">
        <f>Raw_Data!H215</f>
        <v>11</v>
      </c>
      <c r="J215" s="4">
        <f>Raw_Data!I215</f>
        <v>2806.47</v>
      </c>
      <c r="K215" s="4">
        <f>Raw_Data!J215</f>
        <v>1347.11</v>
      </c>
      <c r="L215" s="5">
        <f>IF(Raw_Data!K215="",0,Raw_Data!K215)</f>
        <v>0</v>
      </c>
      <c r="M215" s="4">
        <f t="shared" si="13"/>
        <v>30871.17</v>
      </c>
      <c r="N215" s="4">
        <f t="shared" si="14"/>
        <v>16052.96</v>
      </c>
      <c r="O215" s="6">
        <f t="shared" si="15"/>
        <v>0.51999843219417985</v>
      </c>
    </row>
    <row r="216" spans="1:15" ht="15" customHeight="1" x14ac:dyDescent="0.3">
      <c r="A216" s="2">
        <f>Raw_Data!A216</f>
        <v>100215</v>
      </c>
      <c r="B216" s="3">
        <f>DATEVALUE(Raw_Data!B216)</f>
        <v>45567</v>
      </c>
      <c r="C216" s="2" t="str">
        <f t="shared" si="12"/>
        <v>Oct-2024</v>
      </c>
      <c r="D216" s="2" t="str">
        <f>PROPER(TRIM(Raw_Data!C216))</f>
        <v>Priya Singh</v>
      </c>
      <c r="E216" s="2" t="str">
        <f>PROPER(TRIM(Raw_Data!D216))</f>
        <v>North</v>
      </c>
      <c r="F216" s="2" t="str">
        <f>PROPER(TRIM(Raw_Data!E216))</f>
        <v>Office Supplies</v>
      </c>
      <c r="G216" s="2" t="str">
        <f>PROPER(TRIM(Raw_Data!F216))</f>
        <v>Paper</v>
      </c>
      <c r="H216" s="2" t="str">
        <f>Raw_Data!G216</f>
        <v>CopyMax A4 Ream</v>
      </c>
      <c r="I216" s="2">
        <f>Raw_Data!H216</f>
        <v>11</v>
      </c>
      <c r="J216" s="4">
        <f>Raw_Data!I216</f>
        <v>245.81</v>
      </c>
      <c r="K216" s="4">
        <f>Raw_Data!J216</f>
        <v>122.91</v>
      </c>
      <c r="L216" s="5">
        <f>IF(Raw_Data!K216="",0,Raw_Data!K216)</f>
        <v>0.1</v>
      </c>
      <c r="M216" s="4">
        <f t="shared" si="13"/>
        <v>2433.52</v>
      </c>
      <c r="N216" s="4">
        <f t="shared" si="14"/>
        <v>1081.51</v>
      </c>
      <c r="O216" s="6">
        <f t="shared" si="15"/>
        <v>0.44442207173148363</v>
      </c>
    </row>
    <row r="217" spans="1:15" ht="15" customHeight="1" x14ac:dyDescent="0.3">
      <c r="A217" s="2">
        <f>Raw_Data!A217</f>
        <v>100216</v>
      </c>
      <c r="B217" s="3">
        <f>DATEVALUE(Raw_Data!B217)</f>
        <v>45495</v>
      </c>
      <c r="C217" s="2" t="str">
        <f t="shared" si="12"/>
        <v>Jul-2024</v>
      </c>
      <c r="D217" s="2" t="str">
        <f>PROPER(TRIM(Raw_Data!C217))</f>
        <v>Priya Pillai</v>
      </c>
      <c r="E217" s="2" t="str">
        <f>PROPER(TRIM(Raw_Data!D217))</f>
        <v>West</v>
      </c>
      <c r="F217" s="2" t="str">
        <f>PROPER(TRIM(Raw_Data!E217))</f>
        <v>Furniture</v>
      </c>
      <c r="G217" s="2" t="str">
        <f>PROPER(TRIM(Raw_Data!F217))</f>
        <v>Desks</v>
      </c>
      <c r="H217" s="2" t="str">
        <f>Raw_Data!G217</f>
        <v>CompactWork</v>
      </c>
      <c r="I217" s="2">
        <f>Raw_Data!H217</f>
        <v>11</v>
      </c>
      <c r="J217" s="4">
        <f>Raw_Data!I217</f>
        <v>4230.96</v>
      </c>
      <c r="K217" s="4">
        <f>Raw_Data!J217</f>
        <v>2750.12</v>
      </c>
      <c r="L217" s="5">
        <f>IF(Raw_Data!K217="",0,Raw_Data!K217)</f>
        <v>0.05</v>
      </c>
      <c r="M217" s="4">
        <f t="shared" si="13"/>
        <v>44213.53</v>
      </c>
      <c r="N217" s="4">
        <f t="shared" si="14"/>
        <v>13962.21</v>
      </c>
      <c r="O217" s="6">
        <f t="shared" si="15"/>
        <v>0.31579043790441524</v>
      </c>
    </row>
    <row r="218" spans="1:15" ht="15" customHeight="1" x14ac:dyDescent="0.3">
      <c r="A218" s="2">
        <f>Raw_Data!A218</f>
        <v>100217</v>
      </c>
      <c r="B218" s="3">
        <f>DATEVALUE(Raw_Data!B218)</f>
        <v>45439</v>
      </c>
      <c r="C218" s="2" t="str">
        <f t="shared" si="12"/>
        <v>May-2024</v>
      </c>
      <c r="D218" s="2" t="str">
        <f>PROPER(TRIM(Raw_Data!C218))</f>
        <v>Saanvi Rao</v>
      </c>
      <c r="E218" s="2" t="str">
        <f>PROPER(TRIM(Raw_Data!D218))</f>
        <v>North</v>
      </c>
      <c r="F218" s="2" t="str">
        <f>PROPER(TRIM(Raw_Data!E218))</f>
        <v>Office Supplies</v>
      </c>
      <c r="G218" s="2" t="str">
        <f>PROPER(TRIM(Raw_Data!F218))</f>
        <v>Paper</v>
      </c>
      <c r="H218" s="2" t="str">
        <f>Raw_Data!G218</f>
        <v>PrintPro A4 Ream</v>
      </c>
      <c r="I218" s="2">
        <f>Raw_Data!H218</f>
        <v>8</v>
      </c>
      <c r="J218" s="4">
        <f>Raw_Data!I218</f>
        <v>273.23</v>
      </c>
      <c r="K218" s="4">
        <f>Raw_Data!J218</f>
        <v>136.62</v>
      </c>
      <c r="L218" s="5">
        <f>IF(Raw_Data!K218="",0,Raw_Data!K218)</f>
        <v>0</v>
      </c>
      <c r="M218" s="4">
        <f t="shared" si="13"/>
        <v>2185.84</v>
      </c>
      <c r="N218" s="4">
        <f t="shared" si="14"/>
        <v>1092.8800000000001</v>
      </c>
      <c r="O218" s="6">
        <f t="shared" si="15"/>
        <v>0.49998170039893131</v>
      </c>
    </row>
    <row r="219" spans="1:15" ht="15" customHeight="1" x14ac:dyDescent="0.3">
      <c r="A219" s="2">
        <f>Raw_Data!A219</f>
        <v>100218</v>
      </c>
      <c r="B219" s="3">
        <f>DATEVALUE(Raw_Data!B219)</f>
        <v>45347</v>
      </c>
      <c r="C219" s="2" t="str">
        <f t="shared" si="12"/>
        <v>Feb-2024</v>
      </c>
      <c r="D219" s="2" t="str">
        <f>PROPER(TRIM(Raw_Data!C219))</f>
        <v>Tanvi Singh</v>
      </c>
      <c r="E219" s="2" t="str">
        <f>PROPER(TRIM(Raw_Data!D219))</f>
        <v>North</v>
      </c>
      <c r="F219" s="2" t="str">
        <f>PROPER(TRIM(Raw_Data!E219))</f>
        <v>Electronics</v>
      </c>
      <c r="G219" s="2" t="str">
        <f>PROPER(TRIM(Raw_Data!F219))</f>
        <v>Laptops</v>
      </c>
      <c r="H219" s="2" t="str">
        <f>Raw_Data!G219</f>
        <v>ProBook 14</v>
      </c>
      <c r="I219" s="2">
        <f>Raw_Data!H219</f>
        <v>10</v>
      </c>
      <c r="J219" s="4">
        <f>Raw_Data!I219</f>
        <v>46663.78</v>
      </c>
      <c r="K219" s="4">
        <f>Raw_Data!J219</f>
        <v>30331.46</v>
      </c>
      <c r="L219" s="5">
        <f>IF(Raw_Data!K219="",0,Raw_Data!K219)</f>
        <v>0</v>
      </c>
      <c r="M219" s="4">
        <f t="shared" si="13"/>
        <v>466637.8</v>
      </c>
      <c r="N219" s="4">
        <f t="shared" si="14"/>
        <v>163323.20000000001</v>
      </c>
      <c r="O219" s="6">
        <f t="shared" si="15"/>
        <v>0.34999993571030896</v>
      </c>
    </row>
    <row r="220" spans="1:15" ht="15" customHeight="1" x14ac:dyDescent="0.3">
      <c r="A220" s="2">
        <f>Raw_Data!A220</f>
        <v>100219</v>
      </c>
      <c r="B220" s="3">
        <f>DATEVALUE(Raw_Data!B220)</f>
        <v>45326</v>
      </c>
      <c r="C220" s="2" t="str">
        <f t="shared" si="12"/>
        <v>Feb-2024</v>
      </c>
      <c r="D220" s="2" t="str">
        <f>PROPER(TRIM(Raw_Data!C220))</f>
        <v>Aarav Patel</v>
      </c>
      <c r="E220" s="2" t="str">
        <f>PROPER(TRIM(Raw_Data!D220))</f>
        <v>South</v>
      </c>
      <c r="F220" s="2" t="str">
        <f>PROPER(TRIM(Raw_Data!E220))</f>
        <v>Electronics</v>
      </c>
      <c r="G220" s="2" t="str">
        <f>PROPER(TRIM(Raw_Data!F220))</f>
        <v>Monitors</v>
      </c>
      <c r="H220" s="2" t="str">
        <f>Raw_Data!G220</f>
        <v>WideView 27</v>
      </c>
      <c r="I220" s="2">
        <f>Raw_Data!H220</f>
        <v>11</v>
      </c>
      <c r="J220" s="4">
        <f>Raw_Data!I220</f>
        <v>13869.13</v>
      </c>
      <c r="K220" s="4">
        <f>Raw_Data!J220</f>
        <v>8321.48</v>
      </c>
      <c r="L220" s="5">
        <f>IF(Raw_Data!K220="",0,Raw_Data!K220)</f>
        <v>0.15</v>
      </c>
      <c r="M220" s="4">
        <f t="shared" si="13"/>
        <v>129676.37</v>
      </c>
      <c r="N220" s="4">
        <f t="shared" si="14"/>
        <v>38140.089999999997</v>
      </c>
      <c r="O220" s="6">
        <f t="shared" si="15"/>
        <v>0.29411750190107883</v>
      </c>
    </row>
    <row r="221" spans="1:15" ht="15" customHeight="1" x14ac:dyDescent="0.3">
      <c r="A221" s="2">
        <f>Raw_Data!A221</f>
        <v>100220</v>
      </c>
      <c r="B221" s="3" t="e">
        <f>DATEVALUE(Raw_Data!B221)</f>
        <v>#VALUE!</v>
      </c>
      <c r="C221" s="2" t="e">
        <f t="shared" si="12"/>
        <v>#VALUE!</v>
      </c>
      <c r="D221" s="2" t="str">
        <f>PROPER(TRIM(Raw_Data!C221))</f>
        <v>Karan Das</v>
      </c>
      <c r="E221" s="2" t="str">
        <f>PROPER(TRIM(Raw_Data!D221))</f>
        <v>North</v>
      </c>
      <c r="F221" s="2" t="str">
        <f>PROPER(TRIM(Raw_Data!E221))</f>
        <v>Office Supplies</v>
      </c>
      <c r="G221" s="2" t="str">
        <f>PROPER(TRIM(Raw_Data!F221))</f>
        <v>Staplers</v>
      </c>
      <c r="H221" s="2" t="str">
        <f>Raw_Data!G221</f>
        <v>ClickFix Standard</v>
      </c>
      <c r="I221" s="2">
        <f>Raw_Data!H221</f>
        <v>2</v>
      </c>
      <c r="J221" s="4">
        <f>Raw_Data!I221</f>
        <v>220.46</v>
      </c>
      <c r="K221" s="4">
        <f>Raw_Data!J221</f>
        <v>110.23</v>
      </c>
      <c r="L221" s="5">
        <f>IF(Raw_Data!K221="",0,Raw_Data!K221)</f>
        <v>0.1</v>
      </c>
      <c r="M221" s="4">
        <f t="shared" si="13"/>
        <v>396.83</v>
      </c>
      <c r="N221" s="4">
        <f t="shared" si="14"/>
        <v>176.37</v>
      </c>
      <c r="O221" s="6">
        <f t="shared" si="15"/>
        <v>0.44444724441196487</v>
      </c>
    </row>
    <row r="222" spans="1:15" ht="15" customHeight="1" x14ac:dyDescent="0.3">
      <c r="A222" s="2">
        <f>Raw_Data!A222</f>
        <v>100221</v>
      </c>
      <c r="B222" s="3">
        <f>DATEVALUE(Raw_Data!B222)</f>
        <v>45451</v>
      </c>
      <c r="C222" s="2" t="str">
        <f t="shared" si="12"/>
        <v>Jun-2024</v>
      </c>
      <c r="D222" s="2" t="str">
        <f>PROPER(TRIM(Raw_Data!C222))</f>
        <v>Aman Chopra</v>
      </c>
      <c r="E222" s="2" t="str">
        <f>PROPER(TRIM(Raw_Data!D222))</f>
        <v>South</v>
      </c>
      <c r="F222" s="2" t="str">
        <f>PROPER(TRIM(Raw_Data!E222))</f>
        <v>Electronics</v>
      </c>
      <c r="G222" s="2" t="str">
        <f>PROPER(TRIM(Raw_Data!F222))</f>
        <v>Keyboards</v>
      </c>
      <c r="H222" s="2" t="str">
        <f>Raw_Data!G222</f>
        <v>GamerEdge RGB</v>
      </c>
      <c r="I222" s="2">
        <f>Raw_Data!H222</f>
        <v>8</v>
      </c>
      <c r="J222" s="4">
        <f>Raw_Data!I222</f>
        <v>3268.31</v>
      </c>
      <c r="K222" s="4">
        <f>Raw_Data!J222</f>
        <v>1634.16</v>
      </c>
      <c r="L222" s="5">
        <f>IF(Raw_Data!K222="",0,Raw_Data!K222)</f>
        <v>0.15</v>
      </c>
      <c r="M222" s="4">
        <f t="shared" si="13"/>
        <v>22224.51</v>
      </c>
      <c r="N222" s="4">
        <f t="shared" si="14"/>
        <v>9151.23</v>
      </c>
      <c r="O222" s="6">
        <f t="shared" si="15"/>
        <v>0.41176295900337062</v>
      </c>
    </row>
    <row r="223" spans="1:15" ht="15" customHeight="1" x14ac:dyDescent="0.3">
      <c r="A223" s="2">
        <f>Raw_Data!A223</f>
        <v>100222</v>
      </c>
      <c r="B223" s="3">
        <f>DATEVALUE(Raw_Data!B223)</f>
        <v>45444</v>
      </c>
      <c r="C223" s="2" t="str">
        <f t="shared" si="12"/>
        <v>Jun-2024</v>
      </c>
      <c r="D223" s="2" t="str">
        <f>PROPER(TRIM(Raw_Data!C223))</f>
        <v>Priya Kapoor</v>
      </c>
      <c r="E223" s="2" t="str">
        <f>PROPER(TRIM(Raw_Data!D223))</f>
        <v>West</v>
      </c>
      <c r="F223" s="2" t="str">
        <f>PROPER(TRIM(Raw_Data!E223))</f>
        <v>Electronics</v>
      </c>
      <c r="G223" s="2" t="str">
        <f>PROPER(TRIM(Raw_Data!F223))</f>
        <v>Keyboards</v>
      </c>
      <c r="H223" s="2" t="str">
        <f>Raw_Data!G223</f>
        <v>SilentBoard</v>
      </c>
      <c r="I223" s="2">
        <f>Raw_Data!H223</f>
        <v>1</v>
      </c>
      <c r="J223" s="4">
        <f>Raw_Data!I223</f>
        <v>910.32</v>
      </c>
      <c r="K223" s="4">
        <f>Raw_Data!J223</f>
        <v>546.19000000000005</v>
      </c>
      <c r="L223" s="5">
        <f>IF(Raw_Data!K223="",0,Raw_Data!K223)</f>
        <v>0.15</v>
      </c>
      <c r="M223" s="4">
        <f t="shared" si="13"/>
        <v>773.77</v>
      </c>
      <c r="N223" s="4">
        <f t="shared" si="14"/>
        <v>227.58</v>
      </c>
      <c r="O223" s="6">
        <f t="shared" si="15"/>
        <v>0.29411840727864874</v>
      </c>
    </row>
    <row r="224" spans="1:15" ht="15" customHeight="1" x14ac:dyDescent="0.3">
      <c r="A224" s="2">
        <f>Raw_Data!A224</f>
        <v>100223</v>
      </c>
      <c r="B224" s="3" t="e">
        <f>DATEVALUE(Raw_Data!B224)</f>
        <v>#VALUE!</v>
      </c>
      <c r="C224" s="2" t="e">
        <f t="shared" si="12"/>
        <v>#VALUE!</v>
      </c>
      <c r="D224" s="2" t="str">
        <f>PROPER(TRIM(Raw_Data!C224))</f>
        <v>Yash Reddy</v>
      </c>
      <c r="E224" s="2" t="str">
        <f>PROPER(TRIM(Raw_Data!D224))</f>
        <v>West</v>
      </c>
      <c r="F224" s="2" t="str">
        <f>PROPER(TRIM(Raw_Data!E224))</f>
        <v>Furniture</v>
      </c>
      <c r="G224" s="2" t="str">
        <f>PROPER(TRIM(Raw_Data!F224))</f>
        <v>Chairs</v>
      </c>
      <c r="H224" s="2" t="str">
        <f>Raw_Data!G224</f>
        <v>ErgoComfort</v>
      </c>
      <c r="I224" s="2">
        <f>Raw_Data!H224</f>
        <v>11</v>
      </c>
      <c r="J224" s="4">
        <f>Raw_Data!I224</f>
        <v>9107.48</v>
      </c>
      <c r="K224" s="4">
        <f>Raw_Data!J224</f>
        <v>5464.49</v>
      </c>
      <c r="L224" s="5">
        <f>IF(Raw_Data!K224="",0,Raw_Data!K224)</f>
        <v>0.1</v>
      </c>
      <c r="M224" s="4">
        <f t="shared" si="13"/>
        <v>90164.05</v>
      </c>
      <c r="N224" s="4">
        <f t="shared" si="14"/>
        <v>30054.66</v>
      </c>
      <c r="O224" s="6">
        <f t="shared" si="15"/>
        <v>0.33333307454578626</v>
      </c>
    </row>
    <row r="225" spans="1:15" ht="15" customHeight="1" x14ac:dyDescent="0.3">
      <c r="A225" s="2">
        <f>Raw_Data!A225</f>
        <v>100224</v>
      </c>
      <c r="B225" s="3">
        <f>DATEVALUE(Raw_Data!B225)</f>
        <v>45359</v>
      </c>
      <c r="C225" s="2" t="str">
        <f t="shared" si="12"/>
        <v>Mar-2024</v>
      </c>
      <c r="D225" s="2" t="str">
        <f>PROPER(TRIM(Raw_Data!C225))</f>
        <v>Kiara Kapoor</v>
      </c>
      <c r="E225" s="2" t="str">
        <f>PROPER(TRIM(Raw_Data!D225))</f>
        <v>West</v>
      </c>
      <c r="F225" s="2" t="str">
        <f>PROPER(TRIM(Raw_Data!E225))</f>
        <v>Clothing</v>
      </c>
      <c r="G225" s="2" t="str">
        <f>PROPER(TRIM(Raw_Data!F225))</f>
        <v>Jackets</v>
      </c>
      <c r="H225" s="2" t="str">
        <f>Raw_Data!G225</f>
        <v>WinterGuard</v>
      </c>
      <c r="I225" s="2">
        <f>Raw_Data!H225</f>
        <v>8</v>
      </c>
      <c r="J225" s="4">
        <f>Raw_Data!I225</f>
        <v>2821.68</v>
      </c>
      <c r="K225" s="4">
        <f>Raw_Data!J225</f>
        <v>1410.84</v>
      </c>
      <c r="L225" s="5">
        <f>IF(Raw_Data!K225="",0,Raw_Data!K225)</f>
        <v>0.1</v>
      </c>
      <c r="M225" s="4">
        <f t="shared" si="13"/>
        <v>20316.099999999999</v>
      </c>
      <c r="N225" s="4">
        <f t="shared" si="14"/>
        <v>9029.3799999999992</v>
      </c>
      <c r="O225" s="6">
        <f t="shared" si="15"/>
        <v>0.44444455382676795</v>
      </c>
    </row>
    <row r="226" spans="1:15" ht="15" customHeight="1" x14ac:dyDescent="0.3">
      <c r="A226" s="2">
        <f>Raw_Data!A226</f>
        <v>100225</v>
      </c>
      <c r="B226" s="3" t="e">
        <f>DATEVALUE(Raw_Data!B226)</f>
        <v>#VALUE!</v>
      </c>
      <c r="C226" s="2" t="e">
        <f t="shared" si="12"/>
        <v>#VALUE!</v>
      </c>
      <c r="D226" s="2" t="str">
        <f>PROPER(TRIM(Raw_Data!C226))</f>
        <v>Saanvi Verma</v>
      </c>
      <c r="E226" s="2" t="str">
        <f>PROPER(TRIM(Raw_Data!D226))</f>
        <v>North</v>
      </c>
      <c r="F226" s="2" t="str">
        <f>PROPER(TRIM(Raw_Data!E226))</f>
        <v>Electronics</v>
      </c>
      <c r="G226" s="2" t="str">
        <f>PROPER(TRIM(Raw_Data!F226))</f>
        <v>Monitors</v>
      </c>
      <c r="H226" s="2" t="str">
        <f>Raw_Data!G226</f>
        <v>CurveTech 32</v>
      </c>
      <c r="I226" s="2">
        <f>Raw_Data!H226</f>
        <v>9</v>
      </c>
      <c r="J226" s="4">
        <f>Raw_Data!I226</f>
        <v>20514.7</v>
      </c>
      <c r="K226" s="4">
        <f>Raw_Data!J226</f>
        <v>11898.53</v>
      </c>
      <c r="L226" s="5">
        <f>IF(Raw_Data!K226="",0,Raw_Data!K226)</f>
        <v>0.15</v>
      </c>
      <c r="M226" s="4">
        <f t="shared" si="13"/>
        <v>156937.46</v>
      </c>
      <c r="N226" s="4">
        <f t="shared" si="14"/>
        <v>49850.69</v>
      </c>
      <c r="O226" s="6">
        <f t="shared" si="15"/>
        <v>0.31764685117243524</v>
      </c>
    </row>
    <row r="227" spans="1:15" ht="15" customHeight="1" x14ac:dyDescent="0.3">
      <c r="A227" s="2">
        <f>Raw_Data!A227</f>
        <v>100226</v>
      </c>
      <c r="B227" s="3" t="e">
        <f>DATEVALUE(Raw_Data!B227)</f>
        <v>#VALUE!</v>
      </c>
      <c r="C227" s="2" t="e">
        <f t="shared" si="12"/>
        <v>#VALUE!</v>
      </c>
      <c r="D227" s="2" t="str">
        <f>PROPER(TRIM(Raw_Data!C227))</f>
        <v>Rahul Pillai</v>
      </c>
      <c r="E227" s="2" t="str">
        <f>PROPER(TRIM(Raw_Data!D227))</f>
        <v>East</v>
      </c>
      <c r="F227" s="2" t="str">
        <f>PROPER(TRIM(Raw_Data!E227))</f>
        <v>Clothing</v>
      </c>
      <c r="G227" s="2" t="str">
        <f>PROPER(TRIM(Raw_Data!F227))</f>
        <v>T-Shirts</v>
      </c>
      <c r="H227" s="2" t="str">
        <f>Raw_Data!G227</f>
        <v>CottonBasic</v>
      </c>
      <c r="I227" s="2">
        <f>Raw_Data!H227</f>
        <v>11</v>
      </c>
      <c r="J227" s="4">
        <f>Raw_Data!I227</f>
        <v>440.47</v>
      </c>
      <c r="K227" s="4">
        <f>Raw_Data!J227</f>
        <v>198.21</v>
      </c>
      <c r="L227" s="5">
        <f>IF(Raw_Data!K227="",0,Raw_Data!K227)</f>
        <v>0.05</v>
      </c>
      <c r="M227" s="4">
        <f t="shared" si="13"/>
        <v>4602.91</v>
      </c>
      <c r="N227" s="4">
        <f t="shared" si="14"/>
        <v>2422.6</v>
      </c>
      <c r="O227" s="6">
        <f t="shared" si="15"/>
        <v>0.52631921979791041</v>
      </c>
    </row>
    <row r="228" spans="1:15" ht="15" customHeight="1" x14ac:dyDescent="0.3">
      <c r="A228" s="2">
        <f>Raw_Data!A228</f>
        <v>100227</v>
      </c>
      <c r="B228" s="3">
        <f>DATEVALUE(Raw_Data!B228)</f>
        <v>45480</v>
      </c>
      <c r="C228" s="2" t="str">
        <f t="shared" si="12"/>
        <v>Jul-2024</v>
      </c>
      <c r="D228" s="2" t="str">
        <f>PROPER(TRIM(Raw_Data!C228))</f>
        <v>Simran Iyer</v>
      </c>
      <c r="E228" s="2" t="str">
        <f>PROPER(TRIM(Raw_Data!D228))</f>
        <v>West</v>
      </c>
      <c r="F228" s="2" t="str">
        <f>PROPER(TRIM(Raw_Data!E228))</f>
        <v>Electronics</v>
      </c>
      <c r="G228" s="2" t="str">
        <f>PROPER(TRIM(Raw_Data!F228))</f>
        <v>Monitors</v>
      </c>
      <c r="H228" s="2" t="str">
        <f>Raw_Data!G228</f>
        <v>CurveTech 32</v>
      </c>
      <c r="I228" s="2">
        <f>Raw_Data!H228</f>
        <v>4</v>
      </c>
      <c r="J228" s="4">
        <f>Raw_Data!I228</f>
        <v>20461.990000000002</v>
      </c>
      <c r="K228" s="4">
        <f>Raw_Data!J228</f>
        <v>11867.96</v>
      </c>
      <c r="L228" s="5">
        <f>IF(Raw_Data!K228="",0,Raw_Data!K228)</f>
        <v>0.2</v>
      </c>
      <c r="M228" s="4">
        <f t="shared" si="13"/>
        <v>65478.37</v>
      </c>
      <c r="N228" s="4">
        <f t="shared" si="14"/>
        <v>18006.53</v>
      </c>
      <c r="O228" s="6">
        <f t="shared" si="15"/>
        <v>0.27499966782923885</v>
      </c>
    </row>
    <row r="229" spans="1:15" ht="15" customHeight="1" x14ac:dyDescent="0.3">
      <c r="A229" s="2">
        <f>Raw_Data!A229</f>
        <v>100228</v>
      </c>
      <c r="B229" s="3" t="e">
        <f>DATEVALUE(Raw_Data!B229)</f>
        <v>#VALUE!</v>
      </c>
      <c r="C229" s="2" t="e">
        <f t="shared" si="12"/>
        <v>#VALUE!</v>
      </c>
      <c r="D229" s="2" t="str">
        <f>PROPER(TRIM(Raw_Data!C229))</f>
        <v>Simran Agarwal</v>
      </c>
      <c r="E229" s="2" t="str">
        <f>PROPER(TRIM(Raw_Data!D229))</f>
        <v>West</v>
      </c>
      <c r="F229" s="2" t="str">
        <f>PROPER(TRIM(Raw_Data!E229))</f>
        <v>Clothing</v>
      </c>
      <c r="G229" s="2" t="str">
        <f>PROPER(TRIM(Raw_Data!F229))</f>
        <v>Jackets</v>
      </c>
      <c r="H229" s="2" t="str">
        <f>Raw_Data!G229</f>
        <v>RainShield Pro</v>
      </c>
      <c r="I229" s="2">
        <f>Raw_Data!H229</f>
        <v>1</v>
      </c>
      <c r="J229" s="4">
        <f>Raw_Data!I229</f>
        <v>2241.6799999999998</v>
      </c>
      <c r="K229" s="4">
        <f>Raw_Data!J229</f>
        <v>1120.8399999999999</v>
      </c>
      <c r="L229" s="5">
        <f>IF(Raw_Data!K229="",0,Raw_Data!K229)</f>
        <v>0</v>
      </c>
      <c r="M229" s="4">
        <f t="shared" si="13"/>
        <v>2241.6799999999998</v>
      </c>
      <c r="N229" s="4">
        <f t="shared" si="14"/>
        <v>1120.8399999999999</v>
      </c>
      <c r="O229" s="6">
        <f t="shared" si="15"/>
        <v>0.5</v>
      </c>
    </row>
    <row r="230" spans="1:15" ht="15" customHeight="1" x14ac:dyDescent="0.3">
      <c r="A230" s="2">
        <f>Raw_Data!A230</f>
        <v>100229</v>
      </c>
      <c r="B230" s="3" t="e">
        <f>DATEVALUE(Raw_Data!B230)</f>
        <v>#VALUE!</v>
      </c>
      <c r="C230" s="2" t="e">
        <f t="shared" si="12"/>
        <v>#VALUE!</v>
      </c>
      <c r="D230" s="2" t="str">
        <f>PROPER(TRIM(Raw_Data!C230))</f>
        <v>Aadhya Bhatt</v>
      </c>
      <c r="E230" s="2" t="str">
        <f>PROPER(TRIM(Raw_Data!D230))</f>
        <v>South</v>
      </c>
      <c r="F230" s="2" t="str">
        <f>PROPER(TRIM(Raw_Data!E230))</f>
        <v>Electronics</v>
      </c>
      <c r="G230" s="2" t="str">
        <f>PROPER(TRIM(Raw_Data!F230))</f>
        <v>Keyboards</v>
      </c>
      <c r="H230" s="2" t="str">
        <f>Raw_Data!G230</f>
        <v>GamerEdge RGB</v>
      </c>
      <c r="I230" s="2">
        <f>Raw_Data!H230</f>
        <v>10</v>
      </c>
      <c r="J230" s="4">
        <f>Raw_Data!I230</f>
        <v>3189.28</v>
      </c>
      <c r="K230" s="4">
        <f>Raw_Data!J230</f>
        <v>1594.64</v>
      </c>
      <c r="L230" s="5">
        <f>IF(Raw_Data!K230="",0,Raw_Data!K230)</f>
        <v>0.05</v>
      </c>
      <c r="M230" s="4">
        <f t="shared" si="13"/>
        <v>30298.16</v>
      </c>
      <c r="N230" s="4">
        <f t="shared" si="14"/>
        <v>14351.76</v>
      </c>
      <c r="O230" s="6">
        <f t="shared" si="15"/>
        <v>0.47368421052631582</v>
      </c>
    </row>
    <row r="231" spans="1:15" ht="15" customHeight="1" x14ac:dyDescent="0.3">
      <c r="A231" s="2">
        <f>Raw_Data!A231</f>
        <v>100230</v>
      </c>
      <c r="B231" s="3">
        <f>DATEVALUE(Raw_Data!B231)</f>
        <v>45650</v>
      </c>
      <c r="C231" s="2" t="str">
        <f t="shared" si="12"/>
        <v>Dec-2024</v>
      </c>
      <c r="D231" s="2" t="str">
        <f>PROPER(TRIM(Raw_Data!C231))</f>
        <v>Sai Iyer</v>
      </c>
      <c r="E231" s="2" t="str">
        <f>PROPER(TRIM(Raw_Data!D231))</f>
        <v>South</v>
      </c>
      <c r="F231" s="2" t="str">
        <f>PROPER(TRIM(Raw_Data!E231))</f>
        <v>Furniture</v>
      </c>
      <c r="G231" s="2" t="str">
        <f>PROPER(TRIM(Raw_Data!F231))</f>
        <v>Cabinets</v>
      </c>
      <c r="H231" s="2" t="str">
        <f>Raw_Data!G231</f>
        <v>StorageMax Wood</v>
      </c>
      <c r="I231" s="2">
        <f>Raw_Data!H231</f>
        <v>12</v>
      </c>
      <c r="J231" s="4">
        <f>Raw_Data!I231</f>
        <v>4799.71</v>
      </c>
      <c r="K231" s="4">
        <f>Raw_Data!J231</f>
        <v>3023.82</v>
      </c>
      <c r="L231" s="5">
        <f>IF(Raw_Data!K231="",0,Raw_Data!K231)</f>
        <v>0.05</v>
      </c>
      <c r="M231" s="4">
        <f t="shared" si="13"/>
        <v>54716.69</v>
      </c>
      <c r="N231" s="4">
        <f t="shared" si="14"/>
        <v>18430.849999999999</v>
      </c>
      <c r="O231" s="6">
        <f t="shared" si="15"/>
        <v>0.33684146464268944</v>
      </c>
    </row>
    <row r="232" spans="1:15" ht="15" customHeight="1" x14ac:dyDescent="0.3">
      <c r="A232" s="2">
        <f>Raw_Data!A232</f>
        <v>100231</v>
      </c>
      <c r="B232" s="3" t="e">
        <f>DATEVALUE(Raw_Data!B232)</f>
        <v>#VALUE!</v>
      </c>
      <c r="C232" s="2" t="e">
        <f t="shared" si="12"/>
        <v>#VALUE!</v>
      </c>
      <c r="D232" s="2" t="str">
        <f>PROPER(TRIM(Raw_Data!C232))</f>
        <v>Priya Shah</v>
      </c>
      <c r="E232" s="2" t="str">
        <f>PROPER(TRIM(Raw_Data!D232))</f>
        <v>South</v>
      </c>
      <c r="F232" s="2" t="str">
        <f>PROPER(TRIM(Raw_Data!E232))</f>
        <v>Office Supplies</v>
      </c>
      <c r="G232" s="2" t="str">
        <f>PROPER(TRIM(Raw_Data!F232))</f>
        <v>Paper</v>
      </c>
      <c r="H232" s="2" t="str">
        <f>Raw_Data!G232</f>
        <v>CopyMax A4 Ream</v>
      </c>
      <c r="I232" s="2">
        <f>Raw_Data!H232</f>
        <v>9</v>
      </c>
      <c r="J232" s="4">
        <f>Raw_Data!I232</f>
        <v>253.11</v>
      </c>
      <c r="K232" s="4">
        <f>Raw_Data!J232</f>
        <v>126.56</v>
      </c>
      <c r="L232" s="5">
        <f>IF(Raw_Data!K232="",0,Raw_Data!K232)</f>
        <v>0.1</v>
      </c>
      <c r="M232" s="4">
        <f t="shared" si="13"/>
        <v>2050.19</v>
      </c>
      <c r="N232" s="4">
        <f t="shared" si="14"/>
        <v>911.15</v>
      </c>
      <c r="O232" s="6">
        <f t="shared" si="15"/>
        <v>0.4444222242816519</v>
      </c>
    </row>
    <row r="233" spans="1:15" ht="15" customHeight="1" x14ac:dyDescent="0.3">
      <c r="A233" s="2">
        <f>Raw_Data!A233</f>
        <v>100232</v>
      </c>
      <c r="B233" s="3" t="e">
        <f>DATEVALUE(Raw_Data!B233)</f>
        <v>#VALUE!</v>
      </c>
      <c r="C233" s="2" t="e">
        <f t="shared" si="12"/>
        <v>#VALUE!</v>
      </c>
      <c r="D233" s="2" t="str">
        <f>PROPER(TRIM(Raw_Data!C233))</f>
        <v>Sai Shah</v>
      </c>
      <c r="E233" s="2" t="str">
        <f>PROPER(TRIM(Raw_Data!D233))</f>
        <v>North</v>
      </c>
      <c r="F233" s="2" t="str">
        <f>PROPER(TRIM(Raw_Data!E233))</f>
        <v>Furniture</v>
      </c>
      <c r="G233" s="2" t="str">
        <f>PROPER(TRIM(Raw_Data!F233))</f>
        <v>Bookshelves</v>
      </c>
      <c r="H233" s="2" t="str">
        <f>Raw_Data!G233</f>
        <v>WoodCraft 5-Tier</v>
      </c>
      <c r="I233" s="2">
        <f>Raw_Data!H233</f>
        <v>5</v>
      </c>
      <c r="J233" s="4">
        <f>Raw_Data!I233</f>
        <v>3532.06</v>
      </c>
      <c r="K233" s="4">
        <f>Raw_Data!J233</f>
        <v>2119.2399999999998</v>
      </c>
      <c r="L233" s="5">
        <f>IF(Raw_Data!K233="",0,Raw_Data!K233)</f>
        <v>0</v>
      </c>
      <c r="M233" s="4">
        <f t="shared" si="13"/>
        <v>17660.3</v>
      </c>
      <c r="N233" s="4">
        <f t="shared" si="14"/>
        <v>7064.1</v>
      </c>
      <c r="O233" s="6">
        <f t="shared" si="15"/>
        <v>0.3999988675164069</v>
      </c>
    </row>
    <row r="234" spans="1:15" ht="15" customHeight="1" x14ac:dyDescent="0.3">
      <c r="A234" s="2">
        <f>Raw_Data!A234</f>
        <v>100233</v>
      </c>
      <c r="B234" s="3">
        <f>DATEVALUE(Raw_Data!B234)</f>
        <v>45607</v>
      </c>
      <c r="C234" s="2" t="str">
        <f t="shared" si="12"/>
        <v>Nov-2024</v>
      </c>
      <c r="D234" s="2" t="str">
        <f>PROPER(TRIM(Raw_Data!C234))</f>
        <v>Aarav Joshi</v>
      </c>
      <c r="E234" s="2" t="str">
        <f>PROPER(TRIM(Raw_Data!D234))</f>
        <v>West</v>
      </c>
      <c r="F234" s="2" t="str">
        <f>PROPER(TRIM(Raw_Data!E234))</f>
        <v>Furniture</v>
      </c>
      <c r="G234" s="2" t="str">
        <f>PROPER(TRIM(Raw_Data!F234))</f>
        <v>Bookshelves</v>
      </c>
      <c r="H234" s="2" t="str">
        <f>Raw_Data!G234</f>
        <v>WoodCraft 5-Tier</v>
      </c>
      <c r="I234" s="2">
        <f>Raw_Data!H234</f>
        <v>7</v>
      </c>
      <c r="J234" s="4">
        <f>Raw_Data!I234</f>
        <v>3401.3</v>
      </c>
      <c r="K234" s="4">
        <f>Raw_Data!J234</f>
        <v>2040.78</v>
      </c>
      <c r="L234" s="5">
        <f>IF(Raw_Data!K234="",0,Raw_Data!K234)</f>
        <v>0.2</v>
      </c>
      <c r="M234" s="4">
        <f t="shared" si="13"/>
        <v>19047.28</v>
      </c>
      <c r="N234" s="4">
        <f t="shared" si="14"/>
        <v>4761.82</v>
      </c>
      <c r="O234" s="6">
        <f t="shared" si="15"/>
        <v>0.25</v>
      </c>
    </row>
    <row r="235" spans="1:15" ht="15" customHeight="1" x14ac:dyDescent="0.3">
      <c r="A235" s="2">
        <f>Raw_Data!A235</f>
        <v>100234</v>
      </c>
      <c r="B235" s="3">
        <f>DATEVALUE(Raw_Data!B235)</f>
        <v>45328</v>
      </c>
      <c r="C235" s="2" t="str">
        <f t="shared" si="12"/>
        <v>Feb-2024</v>
      </c>
      <c r="D235" s="2" t="str">
        <f>PROPER(TRIM(Raw_Data!C235))</f>
        <v>Tanvi Pillai</v>
      </c>
      <c r="E235" s="2" t="str">
        <f>PROPER(TRIM(Raw_Data!D235))</f>
        <v>East</v>
      </c>
      <c r="F235" s="2" t="str">
        <f>PROPER(TRIM(Raw_Data!E235))</f>
        <v>Furniture</v>
      </c>
      <c r="G235" s="2" t="str">
        <f>PROPER(TRIM(Raw_Data!F235))</f>
        <v>Desks</v>
      </c>
      <c r="H235" s="2" t="str">
        <f>Raw_Data!G235</f>
        <v>CornerFit Desk</v>
      </c>
      <c r="I235" s="2">
        <f>Raw_Data!H235</f>
        <v>8</v>
      </c>
      <c r="J235" s="4">
        <f>Raw_Data!I235</f>
        <v>9536.0400000000009</v>
      </c>
      <c r="K235" s="4">
        <f>Raw_Data!J235</f>
        <v>5530.9</v>
      </c>
      <c r="L235" s="5">
        <f>IF(Raw_Data!K235="",0,Raw_Data!K235)</f>
        <v>0.15</v>
      </c>
      <c r="M235" s="4">
        <f t="shared" si="13"/>
        <v>64845.07</v>
      </c>
      <c r="N235" s="4">
        <f t="shared" si="14"/>
        <v>20597.87</v>
      </c>
      <c r="O235" s="6">
        <f t="shared" si="15"/>
        <v>0.31764743256503536</v>
      </c>
    </row>
    <row r="236" spans="1:15" ht="15" customHeight="1" x14ac:dyDescent="0.3">
      <c r="A236" s="2">
        <f>Raw_Data!A236</f>
        <v>100235</v>
      </c>
      <c r="B236" s="3">
        <f>DATEVALUE(Raw_Data!B236)</f>
        <v>45332</v>
      </c>
      <c r="C236" s="2" t="str">
        <f t="shared" si="12"/>
        <v>Feb-2024</v>
      </c>
      <c r="D236" s="2" t="str">
        <f>PROPER(TRIM(Raw_Data!C236))</f>
        <v>Neha Agarwal</v>
      </c>
      <c r="E236" s="2" t="str">
        <f>PROPER(TRIM(Raw_Data!D236))</f>
        <v>North</v>
      </c>
      <c r="F236" s="2" t="str">
        <f>PROPER(TRIM(Raw_Data!E236))</f>
        <v>Office Supplies</v>
      </c>
      <c r="G236" s="2" t="str">
        <f>PROPER(TRIM(Raw_Data!F236))</f>
        <v>Binders</v>
      </c>
      <c r="H236" s="2" t="str">
        <f>Raw_Data!G236</f>
        <v>RingFile A4</v>
      </c>
      <c r="I236" s="2">
        <f>Raw_Data!H236</f>
        <v>1</v>
      </c>
      <c r="J236" s="4">
        <f>Raw_Data!I236</f>
        <v>174.6</v>
      </c>
      <c r="K236" s="4">
        <f>Raw_Data!J236</f>
        <v>83.81</v>
      </c>
      <c r="L236" s="5">
        <f>IF(Raw_Data!K236="",0,Raw_Data!K236)</f>
        <v>0.05</v>
      </c>
      <c r="M236" s="4">
        <f t="shared" si="13"/>
        <v>165.87</v>
      </c>
      <c r="N236" s="4">
        <f t="shared" si="14"/>
        <v>82.06</v>
      </c>
      <c r="O236" s="6">
        <f t="shared" si="15"/>
        <v>0.49472478446976548</v>
      </c>
    </row>
    <row r="237" spans="1:15" ht="15" customHeight="1" x14ac:dyDescent="0.3">
      <c r="A237" s="2">
        <f>Raw_Data!A237</f>
        <v>100236</v>
      </c>
      <c r="B237" s="3">
        <f>DATEVALUE(Raw_Data!B237)</f>
        <v>45607</v>
      </c>
      <c r="C237" s="2" t="str">
        <f t="shared" si="12"/>
        <v>Nov-2024</v>
      </c>
      <c r="D237" s="2" t="str">
        <f>PROPER(TRIM(Raw_Data!C237))</f>
        <v>Saanvi Mehta</v>
      </c>
      <c r="E237" s="2" t="str">
        <f>PROPER(TRIM(Raw_Data!D237))</f>
        <v>South</v>
      </c>
      <c r="F237" s="2" t="str">
        <f>PROPER(TRIM(Raw_Data!E237))</f>
        <v>Clothing</v>
      </c>
      <c r="G237" s="2" t="str">
        <f>PROPER(TRIM(Raw_Data!F237))</f>
        <v>Bags</v>
      </c>
      <c r="H237" s="2" t="str">
        <f>Raw_Data!G237</f>
        <v>CityCarry Backpack</v>
      </c>
      <c r="I237" s="2">
        <f>Raw_Data!H237</f>
        <v>6</v>
      </c>
      <c r="J237" s="4">
        <f>Raw_Data!I237</f>
        <v>1468.13</v>
      </c>
      <c r="K237" s="4">
        <f>Raw_Data!J237</f>
        <v>734.07</v>
      </c>
      <c r="L237" s="5">
        <f>IF(Raw_Data!K237="",0,Raw_Data!K237)</f>
        <v>0</v>
      </c>
      <c r="M237" s="4">
        <f t="shared" si="13"/>
        <v>8808.7800000000007</v>
      </c>
      <c r="N237" s="4">
        <f t="shared" si="14"/>
        <v>4404.3599999999997</v>
      </c>
      <c r="O237" s="6">
        <f t="shared" si="15"/>
        <v>0.49999659430704357</v>
      </c>
    </row>
    <row r="238" spans="1:15" ht="15" customHeight="1" x14ac:dyDescent="0.3">
      <c r="A238" s="2">
        <f>Raw_Data!A238</f>
        <v>100237</v>
      </c>
      <c r="B238" s="3">
        <f>DATEVALUE(Raw_Data!B238)</f>
        <v>45573</v>
      </c>
      <c r="C238" s="2" t="str">
        <f t="shared" si="12"/>
        <v>Oct-2024</v>
      </c>
      <c r="D238" s="2" t="str">
        <f>PROPER(TRIM(Raw_Data!C238))</f>
        <v>Priya Kapoor</v>
      </c>
      <c r="E238" s="2" t="str">
        <f>PROPER(TRIM(Raw_Data!D238))</f>
        <v>North</v>
      </c>
      <c r="F238" s="2" t="str">
        <f>PROPER(TRIM(Raw_Data!E238))</f>
        <v>Electronics</v>
      </c>
      <c r="G238" s="2" t="str">
        <f>PROPER(TRIM(Raw_Data!F238))</f>
        <v>Monitors</v>
      </c>
      <c r="H238" s="2" t="str">
        <f>Raw_Data!G238</f>
        <v>WideView 27</v>
      </c>
      <c r="I238" s="2">
        <f>Raw_Data!H238</f>
        <v>4</v>
      </c>
      <c r="J238" s="4">
        <f>Raw_Data!I238</f>
        <v>14946.18</v>
      </c>
      <c r="K238" s="4">
        <f>Raw_Data!J238</f>
        <v>8967.7099999999991</v>
      </c>
      <c r="L238" s="5">
        <f>IF(Raw_Data!K238="",0,Raw_Data!K238)</f>
        <v>0.1</v>
      </c>
      <c r="M238" s="4">
        <f t="shared" si="13"/>
        <v>53806.25</v>
      </c>
      <c r="N238" s="4">
        <f t="shared" si="14"/>
        <v>17935.41</v>
      </c>
      <c r="O238" s="6">
        <f t="shared" si="15"/>
        <v>0.3333332094319898</v>
      </c>
    </row>
    <row r="239" spans="1:15" ht="15" customHeight="1" x14ac:dyDescent="0.3">
      <c r="A239" s="2">
        <f>Raw_Data!A239</f>
        <v>100238</v>
      </c>
      <c r="B239" s="3">
        <f>DATEVALUE(Raw_Data!B239)</f>
        <v>45460</v>
      </c>
      <c r="C239" s="2" t="str">
        <f t="shared" si="12"/>
        <v>Jun-2024</v>
      </c>
      <c r="D239" s="2" t="str">
        <f>PROPER(TRIM(Raw_Data!C239))</f>
        <v>Ishaan Reddy</v>
      </c>
      <c r="E239" s="2" t="str">
        <f>PROPER(TRIM(Raw_Data!D239))</f>
        <v>East</v>
      </c>
      <c r="F239" s="2" t="str">
        <f>PROPER(TRIM(Raw_Data!E239))</f>
        <v>Clothing</v>
      </c>
      <c r="G239" s="2" t="str">
        <f>PROPER(TRIM(Raw_Data!F239))</f>
        <v>Bags</v>
      </c>
      <c r="H239" s="2" t="str">
        <f>Raw_Data!G239</f>
        <v>CityCarry Backpack</v>
      </c>
      <c r="I239" s="2">
        <f>Raw_Data!H239</f>
        <v>5</v>
      </c>
      <c r="J239" s="4">
        <f>Raw_Data!I239</f>
        <v>1600.16</v>
      </c>
      <c r="K239" s="4">
        <f>Raw_Data!J239</f>
        <v>800.08</v>
      </c>
      <c r="L239" s="5">
        <f>IF(Raw_Data!K239="",0,Raw_Data!K239)</f>
        <v>0</v>
      </c>
      <c r="M239" s="4">
        <f t="shared" si="13"/>
        <v>8000.8</v>
      </c>
      <c r="N239" s="4">
        <f t="shared" si="14"/>
        <v>4000.4</v>
      </c>
      <c r="O239" s="6">
        <f t="shared" si="15"/>
        <v>0.5</v>
      </c>
    </row>
    <row r="240" spans="1:15" ht="15" customHeight="1" x14ac:dyDescent="0.3">
      <c r="A240" s="2">
        <f>Raw_Data!A240</f>
        <v>100239</v>
      </c>
      <c r="B240" s="3">
        <f>DATEVALUE(Raw_Data!B240)</f>
        <v>45494</v>
      </c>
      <c r="C240" s="2" t="str">
        <f t="shared" si="12"/>
        <v>Jul-2024</v>
      </c>
      <c r="D240" s="2" t="str">
        <f>PROPER(TRIM(Raw_Data!C240))</f>
        <v>Tanvi Patel</v>
      </c>
      <c r="E240" s="2" t="str">
        <f>PROPER(TRIM(Raw_Data!D240))</f>
        <v>South</v>
      </c>
      <c r="F240" s="2" t="str">
        <f>PROPER(TRIM(Raw_Data!E240))</f>
        <v>Clothing</v>
      </c>
      <c r="G240" s="2" t="str">
        <f>PROPER(TRIM(Raw_Data!F240))</f>
        <v>T-Shirts</v>
      </c>
      <c r="H240" s="2" t="str">
        <f>Raw_Data!G240</f>
        <v>CottonBasic</v>
      </c>
      <c r="I240" s="2">
        <f>Raw_Data!H240</f>
        <v>9</v>
      </c>
      <c r="J240" s="4">
        <f>Raw_Data!I240</f>
        <v>475.98</v>
      </c>
      <c r="K240" s="4">
        <f>Raw_Data!J240</f>
        <v>214.19</v>
      </c>
      <c r="L240" s="5">
        <f>IF(Raw_Data!K240="",0,Raw_Data!K240)</f>
        <v>0</v>
      </c>
      <c r="M240" s="4">
        <f t="shared" si="13"/>
        <v>4283.82</v>
      </c>
      <c r="N240" s="4">
        <f t="shared" si="14"/>
        <v>2356.11</v>
      </c>
      <c r="O240" s="6">
        <f t="shared" si="15"/>
        <v>0.55000210092861046</v>
      </c>
    </row>
    <row r="241" spans="1:15" ht="15" customHeight="1" x14ac:dyDescent="0.3">
      <c r="A241" s="2">
        <f>Raw_Data!A241</f>
        <v>100240</v>
      </c>
      <c r="B241" s="3">
        <f>DATEVALUE(Raw_Data!B241)</f>
        <v>45484</v>
      </c>
      <c r="C241" s="2" t="str">
        <f t="shared" si="12"/>
        <v>Jul-2024</v>
      </c>
      <c r="D241" s="2" t="str">
        <f>PROPER(TRIM(Raw_Data!C241))</f>
        <v>Myra Singh</v>
      </c>
      <c r="E241" s="2" t="str">
        <f>PROPER(TRIM(Raw_Data!D241))</f>
        <v>North</v>
      </c>
      <c r="F241" s="2" t="str">
        <f>PROPER(TRIM(Raw_Data!E241))</f>
        <v>Furniture</v>
      </c>
      <c r="G241" s="2" t="str">
        <f>PROPER(TRIM(Raw_Data!F241))</f>
        <v>Bookshelves</v>
      </c>
      <c r="H241" s="2" t="str">
        <f>Raw_Data!G241</f>
        <v>MetalFrame Open</v>
      </c>
      <c r="I241" s="2">
        <f>Raw_Data!H241</f>
        <v>7</v>
      </c>
      <c r="J241" s="4">
        <f>Raw_Data!I241</f>
        <v>2925.07</v>
      </c>
      <c r="K241" s="4">
        <f>Raw_Data!J241</f>
        <v>1813.55</v>
      </c>
      <c r="L241" s="5">
        <f>IF(Raw_Data!K241="",0,Raw_Data!K241)</f>
        <v>0.1</v>
      </c>
      <c r="M241" s="4">
        <f t="shared" si="13"/>
        <v>18427.939999999999</v>
      </c>
      <c r="N241" s="4">
        <f t="shared" si="14"/>
        <v>5733.09</v>
      </c>
      <c r="O241" s="6">
        <f t="shared" si="15"/>
        <v>0.31110856666561759</v>
      </c>
    </row>
    <row r="242" spans="1:15" ht="15" customHeight="1" x14ac:dyDescent="0.3">
      <c r="A242" s="2">
        <f>Raw_Data!A242</f>
        <v>100241</v>
      </c>
      <c r="B242" s="3" t="e">
        <f>DATEVALUE(Raw_Data!B242)</f>
        <v>#VALUE!</v>
      </c>
      <c r="C242" s="2" t="e">
        <f t="shared" si="12"/>
        <v>#VALUE!</v>
      </c>
      <c r="D242" s="2" t="str">
        <f>PROPER(TRIM(Raw_Data!C242))</f>
        <v>Myra Malhotra</v>
      </c>
      <c r="E242" s="2" t="str">
        <f>PROPER(TRIM(Raw_Data!D242))</f>
        <v>North</v>
      </c>
      <c r="F242" s="2" t="str">
        <f>PROPER(TRIM(Raw_Data!E242))</f>
        <v>Office Supplies</v>
      </c>
      <c r="G242" s="2" t="str">
        <f>PROPER(TRIM(Raw_Data!F242))</f>
        <v>Paper</v>
      </c>
      <c r="H242" s="2" t="str">
        <f>Raw_Data!G242</f>
        <v>CopyMax A4 Ream</v>
      </c>
      <c r="I242" s="2">
        <f>Raw_Data!H242</f>
        <v>11</v>
      </c>
      <c r="J242" s="4">
        <f>Raw_Data!I242</f>
        <v>247.29</v>
      </c>
      <c r="K242" s="4">
        <f>Raw_Data!J242</f>
        <v>123.65</v>
      </c>
      <c r="L242" s="5">
        <f>IF(Raw_Data!K242="",0,Raw_Data!K242)</f>
        <v>0</v>
      </c>
      <c r="M242" s="4">
        <f t="shared" si="13"/>
        <v>2720.19</v>
      </c>
      <c r="N242" s="4">
        <f t="shared" si="14"/>
        <v>1360.04</v>
      </c>
      <c r="O242" s="6">
        <f t="shared" si="15"/>
        <v>0.49997978082413358</v>
      </c>
    </row>
    <row r="243" spans="1:15" ht="15" customHeight="1" x14ac:dyDescent="0.3">
      <c r="A243" s="2">
        <f>Raw_Data!A243</f>
        <v>100242</v>
      </c>
      <c r="B243" s="3">
        <f>DATEVALUE(Raw_Data!B243)</f>
        <v>45355</v>
      </c>
      <c r="C243" s="2" t="str">
        <f t="shared" si="12"/>
        <v>Mar-2024</v>
      </c>
      <c r="D243" s="2" t="str">
        <f>PROPER(TRIM(Raw_Data!C243))</f>
        <v>Aarav Agarwal</v>
      </c>
      <c r="E243" s="2" t="str">
        <f>PROPER(TRIM(Raw_Data!D243))</f>
        <v>East</v>
      </c>
      <c r="F243" s="2" t="str">
        <f>PROPER(TRIM(Raw_Data!E243))</f>
        <v>Furniture</v>
      </c>
      <c r="G243" s="2" t="str">
        <f>PROPER(TRIM(Raw_Data!F243))</f>
        <v>Bookshelves</v>
      </c>
      <c r="H243" s="2" t="str">
        <f>Raw_Data!G243</f>
        <v>MetalFrame Open</v>
      </c>
      <c r="I243" s="2">
        <f>Raw_Data!H243</f>
        <v>1</v>
      </c>
      <c r="J243" s="4">
        <f>Raw_Data!I243</f>
        <v>2963.68</v>
      </c>
      <c r="K243" s="4">
        <f>Raw_Data!J243</f>
        <v>1837.48</v>
      </c>
      <c r="L243" s="5">
        <f>IF(Raw_Data!K243="",0,Raw_Data!K243)</f>
        <v>0.1</v>
      </c>
      <c r="M243" s="4">
        <f t="shared" si="13"/>
        <v>2667.31</v>
      </c>
      <c r="N243" s="4">
        <f t="shared" si="14"/>
        <v>829.83</v>
      </c>
      <c r="O243" s="6">
        <f t="shared" si="15"/>
        <v>0.31111119442434515</v>
      </c>
    </row>
    <row r="244" spans="1:15" ht="15" customHeight="1" x14ac:dyDescent="0.3">
      <c r="A244" s="2">
        <f>Raw_Data!A244</f>
        <v>100243</v>
      </c>
      <c r="B244" s="3">
        <f>DATEVALUE(Raw_Data!B244)</f>
        <v>45419</v>
      </c>
      <c r="C244" s="2" t="str">
        <f t="shared" si="12"/>
        <v>May-2024</v>
      </c>
      <c r="D244" s="2" t="str">
        <f>PROPER(TRIM(Raw_Data!C244))</f>
        <v>Rohan Agarwal</v>
      </c>
      <c r="E244" s="2" t="str">
        <f>PROPER(TRIM(Raw_Data!D244))</f>
        <v>East</v>
      </c>
      <c r="F244" s="2" t="str">
        <f>PROPER(TRIM(Raw_Data!E244))</f>
        <v>Furniture</v>
      </c>
      <c r="G244" s="2" t="str">
        <f>PROPER(TRIM(Raw_Data!F244))</f>
        <v>Cabinets</v>
      </c>
      <c r="H244" s="2" t="str">
        <f>Raw_Data!G244</f>
        <v>FileSafe Steel</v>
      </c>
      <c r="I244" s="2">
        <f>Raw_Data!H244</f>
        <v>3</v>
      </c>
      <c r="J244" s="4">
        <f>Raw_Data!I244</f>
        <v>5453.95</v>
      </c>
      <c r="K244" s="4">
        <f>Raw_Data!J244</f>
        <v>3272.37</v>
      </c>
      <c r="L244" s="5">
        <f>IF(Raw_Data!K244="",0,Raw_Data!K244)</f>
        <v>0.1</v>
      </c>
      <c r="M244" s="4">
        <f t="shared" si="13"/>
        <v>14725.67</v>
      </c>
      <c r="N244" s="4">
        <f t="shared" si="14"/>
        <v>4908.5600000000004</v>
      </c>
      <c r="O244" s="6">
        <f t="shared" si="15"/>
        <v>0.33333355969541628</v>
      </c>
    </row>
    <row r="245" spans="1:15" ht="15" customHeight="1" x14ac:dyDescent="0.3">
      <c r="A245" s="2">
        <f>Raw_Data!A245</f>
        <v>100244</v>
      </c>
      <c r="B245" s="3">
        <f>DATEVALUE(Raw_Data!B245)</f>
        <v>45455</v>
      </c>
      <c r="C245" s="2" t="str">
        <f t="shared" si="12"/>
        <v>Jun-2024</v>
      </c>
      <c r="D245" s="2" t="str">
        <f>PROPER(TRIM(Raw_Data!C245))</f>
        <v>Priya Nair</v>
      </c>
      <c r="E245" s="2" t="str">
        <f>PROPER(TRIM(Raw_Data!D245))</f>
        <v>East</v>
      </c>
      <c r="F245" s="2" t="str">
        <f>PROPER(TRIM(Raw_Data!E245))</f>
        <v>Electronics</v>
      </c>
      <c r="G245" s="2" t="str">
        <f>PROPER(TRIM(Raw_Data!F245))</f>
        <v>Monitors</v>
      </c>
      <c r="H245" s="2" t="str">
        <f>Raw_Data!G245</f>
        <v>ViewClear 24</v>
      </c>
      <c r="I245" s="2">
        <f>Raw_Data!H245</f>
        <v>4</v>
      </c>
      <c r="J245" s="4">
        <f>Raw_Data!I245</f>
        <v>9921.1</v>
      </c>
      <c r="K245" s="4">
        <f>Raw_Data!J245</f>
        <v>6151.08</v>
      </c>
      <c r="L245" s="5">
        <f>IF(Raw_Data!K245="",0,Raw_Data!K245)</f>
        <v>0.1</v>
      </c>
      <c r="M245" s="4">
        <f t="shared" si="13"/>
        <v>35715.96</v>
      </c>
      <c r="N245" s="4">
        <f t="shared" si="14"/>
        <v>11111.64</v>
      </c>
      <c r="O245" s="6">
        <f t="shared" si="15"/>
        <v>0.31111133510061045</v>
      </c>
    </row>
    <row r="246" spans="1:15" ht="15" customHeight="1" x14ac:dyDescent="0.3">
      <c r="A246" s="2">
        <f>Raw_Data!A246</f>
        <v>100245</v>
      </c>
      <c r="B246" s="3">
        <f>DATEVALUE(Raw_Data!B246)</f>
        <v>45408</v>
      </c>
      <c r="C246" s="2" t="str">
        <f t="shared" si="12"/>
        <v>Apr-2024</v>
      </c>
      <c r="D246" s="2" t="str">
        <f>PROPER(TRIM(Raw_Data!C246))</f>
        <v>Karan Rao</v>
      </c>
      <c r="E246" s="2" t="str">
        <f>PROPER(TRIM(Raw_Data!D246))</f>
        <v>East</v>
      </c>
      <c r="F246" s="2" t="str">
        <f>PROPER(TRIM(Raw_Data!E246))</f>
        <v>Furniture</v>
      </c>
      <c r="G246" s="2" t="str">
        <f>PROPER(TRIM(Raw_Data!F246))</f>
        <v>Bookshelves</v>
      </c>
      <c r="H246" s="2" t="str">
        <f>Raw_Data!G246</f>
        <v>MetalFrame Open</v>
      </c>
      <c r="I246" s="2">
        <f>Raw_Data!H246</f>
        <v>7</v>
      </c>
      <c r="J246" s="4">
        <f>Raw_Data!I246</f>
        <v>2818.58</v>
      </c>
      <c r="K246" s="4">
        <f>Raw_Data!J246</f>
        <v>1747.52</v>
      </c>
      <c r="L246" s="5">
        <f>IF(Raw_Data!K246="",0,Raw_Data!K246)</f>
        <v>0.05</v>
      </c>
      <c r="M246" s="4">
        <f t="shared" si="13"/>
        <v>18743.560000000001</v>
      </c>
      <c r="N246" s="4">
        <f t="shared" si="14"/>
        <v>6510.92</v>
      </c>
      <c r="O246" s="6">
        <f t="shared" si="15"/>
        <v>0.34736837612491966</v>
      </c>
    </row>
    <row r="247" spans="1:15" ht="15" customHeight="1" x14ac:dyDescent="0.3">
      <c r="A247" s="2">
        <f>Raw_Data!A247</f>
        <v>100246</v>
      </c>
      <c r="B247" s="3">
        <f>DATEVALUE(Raw_Data!B247)</f>
        <v>45440</v>
      </c>
      <c r="C247" s="2" t="str">
        <f t="shared" si="12"/>
        <v>May-2024</v>
      </c>
      <c r="D247" s="2" t="str">
        <f>PROPER(TRIM(Raw_Data!C247))</f>
        <v>Pranav Shah</v>
      </c>
      <c r="E247" s="2" t="str">
        <f>PROPER(TRIM(Raw_Data!D247))</f>
        <v>East</v>
      </c>
      <c r="F247" s="2" t="str">
        <f>PROPER(TRIM(Raw_Data!E247))</f>
        <v>Clothing</v>
      </c>
      <c r="G247" s="2" t="str">
        <f>PROPER(TRIM(Raw_Data!F247))</f>
        <v>T-Shirts</v>
      </c>
      <c r="H247" s="2" t="str">
        <f>Raw_Data!G247</f>
        <v>CottonBasic</v>
      </c>
      <c r="I247" s="2">
        <f>Raw_Data!H247</f>
        <v>11</v>
      </c>
      <c r="J247" s="4">
        <f>Raw_Data!I247</f>
        <v>462.99</v>
      </c>
      <c r="K247" s="4">
        <f>Raw_Data!J247</f>
        <v>208.34</v>
      </c>
      <c r="L247" s="5">
        <f>IF(Raw_Data!K247="",0,Raw_Data!K247)</f>
        <v>0.2</v>
      </c>
      <c r="M247" s="4">
        <f t="shared" si="13"/>
        <v>4074.31</v>
      </c>
      <c r="N247" s="4">
        <f t="shared" si="14"/>
        <v>1782.57</v>
      </c>
      <c r="O247" s="6">
        <f t="shared" si="15"/>
        <v>0.43751457301972602</v>
      </c>
    </row>
    <row r="248" spans="1:15" ht="15" customHeight="1" x14ac:dyDescent="0.3">
      <c r="A248" s="2">
        <f>Raw_Data!A248</f>
        <v>100247</v>
      </c>
      <c r="B248" s="3">
        <f>DATEVALUE(Raw_Data!B248)</f>
        <v>45525</v>
      </c>
      <c r="C248" s="2" t="str">
        <f t="shared" si="12"/>
        <v>Aug-2024</v>
      </c>
      <c r="D248" s="2" t="str">
        <f>PROPER(TRIM(Raw_Data!C248))</f>
        <v>Saanvi Malhotra</v>
      </c>
      <c r="E248" s="2" t="str">
        <f>PROPER(TRIM(Raw_Data!D248))</f>
        <v>North</v>
      </c>
      <c r="F248" s="2" t="str">
        <f>PROPER(TRIM(Raw_Data!E248))</f>
        <v>Clothing</v>
      </c>
      <c r="G248" s="2" t="str">
        <f>PROPER(TRIM(Raw_Data!F248))</f>
        <v>Jackets</v>
      </c>
      <c r="H248" s="2" t="str">
        <f>Raw_Data!G248</f>
        <v>WinterGuard</v>
      </c>
      <c r="I248" s="2">
        <f>Raw_Data!H248</f>
        <v>9</v>
      </c>
      <c r="J248" s="4">
        <f>Raw_Data!I248</f>
        <v>2754.86</v>
      </c>
      <c r="K248" s="4">
        <f>Raw_Data!J248</f>
        <v>1377.43</v>
      </c>
      <c r="L248" s="5">
        <f>IF(Raw_Data!K248="",0,Raw_Data!K248)</f>
        <v>0.1</v>
      </c>
      <c r="M248" s="4">
        <f t="shared" si="13"/>
        <v>22314.37</v>
      </c>
      <c r="N248" s="4">
        <f t="shared" si="14"/>
        <v>9917.5</v>
      </c>
      <c r="O248" s="6">
        <f t="shared" si="15"/>
        <v>0.44444454403149186</v>
      </c>
    </row>
    <row r="249" spans="1:15" ht="15" customHeight="1" x14ac:dyDescent="0.3">
      <c r="A249" s="2">
        <f>Raw_Data!A249</f>
        <v>100248</v>
      </c>
      <c r="B249" s="3">
        <f>DATEVALUE(Raw_Data!B249)</f>
        <v>45421</v>
      </c>
      <c r="C249" s="2" t="str">
        <f t="shared" si="12"/>
        <v>May-2024</v>
      </c>
      <c r="D249" s="2" t="str">
        <f>PROPER(TRIM(Raw_Data!C249))</f>
        <v>Rohan Reddy</v>
      </c>
      <c r="E249" s="2" t="str">
        <f>PROPER(TRIM(Raw_Data!D249))</f>
        <v>West</v>
      </c>
      <c r="F249" s="2" t="str">
        <f>PROPER(TRIM(Raw_Data!E249))</f>
        <v>Office Supplies</v>
      </c>
      <c r="G249" s="2" t="str">
        <f>PROPER(TRIM(Raw_Data!F249))</f>
        <v>Paper</v>
      </c>
      <c r="H249" s="2" t="str">
        <f>Raw_Data!G249</f>
        <v>PrintPro A4 Ream</v>
      </c>
      <c r="I249" s="2">
        <f>Raw_Data!H249</f>
        <v>10</v>
      </c>
      <c r="J249" s="4">
        <f>Raw_Data!I249</f>
        <v>290.89999999999998</v>
      </c>
      <c r="K249" s="4">
        <f>Raw_Data!J249</f>
        <v>145.44999999999999</v>
      </c>
      <c r="L249" s="5">
        <f>IF(Raw_Data!K249="",0,Raw_Data!K249)</f>
        <v>0.2</v>
      </c>
      <c r="M249" s="4">
        <f t="shared" si="13"/>
        <v>2327.1999999999998</v>
      </c>
      <c r="N249" s="4">
        <f t="shared" si="14"/>
        <v>872.7</v>
      </c>
      <c r="O249" s="6">
        <f t="shared" si="15"/>
        <v>0.37500000000000006</v>
      </c>
    </row>
    <row r="250" spans="1:15" ht="15" customHeight="1" x14ac:dyDescent="0.3">
      <c r="A250" s="2">
        <f>Raw_Data!A250</f>
        <v>100249</v>
      </c>
      <c r="B250" s="3">
        <f>DATEVALUE(Raw_Data!B250)</f>
        <v>45313</v>
      </c>
      <c r="C250" s="2" t="str">
        <f t="shared" si="12"/>
        <v>Jan-2024</v>
      </c>
      <c r="D250" s="2" t="str">
        <f>PROPER(TRIM(Raw_Data!C250))</f>
        <v>Pooja Chopra</v>
      </c>
      <c r="E250" s="2" t="str">
        <f>PROPER(TRIM(Raw_Data!D250))</f>
        <v>North</v>
      </c>
      <c r="F250" s="2" t="str">
        <f>PROPER(TRIM(Raw_Data!E250))</f>
        <v>Furniture</v>
      </c>
      <c r="G250" s="2" t="str">
        <f>PROPER(TRIM(Raw_Data!F250))</f>
        <v>Cabinets</v>
      </c>
      <c r="H250" s="2" t="str">
        <f>Raw_Data!G250</f>
        <v>FileSafe Steel</v>
      </c>
      <c r="I250" s="2">
        <f>Raw_Data!H250</f>
        <v>2</v>
      </c>
      <c r="J250" s="4">
        <f>Raw_Data!I250</f>
        <v>5512.45</v>
      </c>
      <c r="K250" s="4">
        <f>Raw_Data!J250</f>
        <v>3307.47</v>
      </c>
      <c r="L250" s="5">
        <f>IF(Raw_Data!K250="",0,Raw_Data!K250)</f>
        <v>0</v>
      </c>
      <c r="M250" s="4">
        <f t="shared" si="13"/>
        <v>11024.9</v>
      </c>
      <c r="N250" s="4">
        <f t="shared" si="14"/>
        <v>4409.96</v>
      </c>
      <c r="O250" s="6">
        <f t="shared" si="15"/>
        <v>0.4</v>
      </c>
    </row>
    <row r="251" spans="1:15" ht="15" customHeight="1" x14ac:dyDescent="0.3">
      <c r="A251" s="2">
        <f>Raw_Data!A251</f>
        <v>100250</v>
      </c>
      <c r="B251" s="3">
        <f>DATEVALUE(Raw_Data!B251)</f>
        <v>45625</v>
      </c>
      <c r="C251" s="2" t="str">
        <f t="shared" si="12"/>
        <v>Nov-2024</v>
      </c>
      <c r="D251" s="2" t="str">
        <f>PROPER(TRIM(Raw_Data!C251))</f>
        <v>Pooja Joshi</v>
      </c>
      <c r="E251" s="2" t="str">
        <f>PROPER(TRIM(Raw_Data!D251))</f>
        <v>East</v>
      </c>
      <c r="F251" s="2" t="str">
        <f>PROPER(TRIM(Raw_Data!E251))</f>
        <v>Office Supplies</v>
      </c>
      <c r="G251" s="2" t="str">
        <f>PROPER(TRIM(Raw_Data!F251))</f>
        <v>Pens</v>
      </c>
      <c r="H251" s="2" t="str">
        <f>Raw_Data!G251</f>
        <v>InkFlow Gel Pack5</v>
      </c>
      <c r="I251" s="2">
        <f>Raw_Data!H251</f>
        <v>11</v>
      </c>
      <c r="J251" s="4">
        <f>Raw_Data!I251</f>
        <v>119.9</v>
      </c>
      <c r="K251" s="4">
        <f>Raw_Data!J251</f>
        <v>53.96</v>
      </c>
      <c r="L251" s="5">
        <f>IF(Raw_Data!K251="",0,Raw_Data!K251)</f>
        <v>0.1</v>
      </c>
      <c r="M251" s="4">
        <f t="shared" si="13"/>
        <v>1187.01</v>
      </c>
      <c r="N251" s="4">
        <f t="shared" si="14"/>
        <v>593.45000000000005</v>
      </c>
      <c r="O251" s="6">
        <f t="shared" si="15"/>
        <v>0.49995366509127981</v>
      </c>
    </row>
    <row r="252" spans="1:15" ht="15" customHeight="1" x14ac:dyDescent="0.3">
      <c r="A252" s="2">
        <f>Raw_Data!A252</f>
        <v>100251</v>
      </c>
      <c r="B252" s="3">
        <f>DATEVALUE(Raw_Data!B252)</f>
        <v>45605</v>
      </c>
      <c r="C252" s="2" t="str">
        <f t="shared" si="12"/>
        <v>Nov-2024</v>
      </c>
      <c r="D252" s="2" t="str">
        <f>PROPER(TRIM(Raw_Data!C252))</f>
        <v>Kabir Reddy</v>
      </c>
      <c r="E252" s="2" t="str">
        <f>PROPER(TRIM(Raw_Data!D252))</f>
        <v>West</v>
      </c>
      <c r="F252" s="2" t="str">
        <f>PROPER(TRIM(Raw_Data!E252))</f>
        <v>Electronics</v>
      </c>
      <c r="G252" s="2" t="str">
        <f>PROPER(TRIM(Raw_Data!F252))</f>
        <v>Headphones</v>
      </c>
      <c r="H252" s="2" t="str">
        <f>Raw_Data!G252</f>
        <v>BassBeat Mini</v>
      </c>
      <c r="I252" s="2">
        <f>Raw_Data!H252</f>
        <v>3</v>
      </c>
      <c r="J252" s="4">
        <f>Raw_Data!I252</f>
        <v>1175.8800000000001</v>
      </c>
      <c r="K252" s="4">
        <f>Raw_Data!J252</f>
        <v>705.53</v>
      </c>
      <c r="L252" s="5">
        <f>IF(Raw_Data!K252="",0,Raw_Data!K252)</f>
        <v>0.1</v>
      </c>
      <c r="M252" s="4">
        <f t="shared" si="13"/>
        <v>3174.88</v>
      </c>
      <c r="N252" s="4">
        <f t="shared" si="14"/>
        <v>1058.29</v>
      </c>
      <c r="O252" s="6">
        <f t="shared" si="15"/>
        <v>0.3333322834248853</v>
      </c>
    </row>
    <row r="253" spans="1:15" ht="15" customHeight="1" x14ac:dyDescent="0.3">
      <c r="A253" s="2">
        <f>Raw_Data!A253</f>
        <v>100252</v>
      </c>
      <c r="B253" s="3">
        <f>DATEVALUE(Raw_Data!B253)</f>
        <v>45474</v>
      </c>
      <c r="C253" s="2" t="str">
        <f t="shared" si="12"/>
        <v>Jul-2024</v>
      </c>
      <c r="D253" s="2" t="str">
        <f>PROPER(TRIM(Raw_Data!C253))</f>
        <v>Vivaan Patel</v>
      </c>
      <c r="E253" s="2" t="str">
        <f>PROPER(TRIM(Raw_Data!D253))</f>
        <v>North</v>
      </c>
      <c r="F253" s="2" t="str">
        <f>PROPER(TRIM(Raw_Data!E253))</f>
        <v>Clothing</v>
      </c>
      <c r="G253" s="2" t="str">
        <f>PROPER(TRIM(Raw_Data!F253))</f>
        <v>Bags</v>
      </c>
      <c r="H253" s="2" t="str">
        <f>Raw_Data!G253</f>
        <v>TravelMax Duffel</v>
      </c>
      <c r="I253" s="2">
        <f>Raw_Data!H253</f>
        <v>4</v>
      </c>
      <c r="J253" s="4">
        <f>Raw_Data!I253</f>
        <v>1848.25</v>
      </c>
      <c r="K253" s="4">
        <f>Raw_Data!J253</f>
        <v>924.12</v>
      </c>
      <c r="L253" s="5">
        <f>IF(Raw_Data!K253="",0,Raw_Data!K253)</f>
        <v>0.15</v>
      </c>
      <c r="M253" s="4">
        <f t="shared" si="13"/>
        <v>6284.05</v>
      </c>
      <c r="N253" s="4">
        <f t="shared" si="14"/>
        <v>2587.5700000000002</v>
      </c>
      <c r="O253" s="6">
        <f t="shared" si="15"/>
        <v>0.41176788854321655</v>
      </c>
    </row>
    <row r="254" spans="1:15" ht="15" customHeight="1" x14ac:dyDescent="0.3">
      <c r="A254" s="2">
        <f>Raw_Data!A254</f>
        <v>100253</v>
      </c>
      <c r="B254" s="3">
        <f>DATEVALUE(Raw_Data!B254)</f>
        <v>45443</v>
      </c>
      <c r="C254" s="2" t="str">
        <f t="shared" si="12"/>
        <v>May-2024</v>
      </c>
      <c r="D254" s="2" t="str">
        <f>PROPER(TRIM(Raw_Data!C254))</f>
        <v>Sai Bose</v>
      </c>
      <c r="E254" s="2" t="str">
        <f>PROPER(TRIM(Raw_Data!D254))</f>
        <v>East</v>
      </c>
      <c r="F254" s="2" t="str">
        <f>PROPER(TRIM(Raw_Data!E254))</f>
        <v>Furniture</v>
      </c>
      <c r="G254" s="2" t="str">
        <f>PROPER(TRIM(Raw_Data!F254))</f>
        <v>Cabinets</v>
      </c>
      <c r="H254" s="2" t="str">
        <f>Raw_Data!G254</f>
        <v>FileSafe Steel</v>
      </c>
      <c r="I254" s="2">
        <f>Raw_Data!H254</f>
        <v>12</v>
      </c>
      <c r="J254" s="4">
        <f>Raw_Data!I254</f>
        <v>5849.97</v>
      </c>
      <c r="K254" s="4">
        <f>Raw_Data!J254</f>
        <v>3509.98</v>
      </c>
      <c r="L254" s="5">
        <f>IF(Raw_Data!K254="",0,Raw_Data!K254)</f>
        <v>0.2</v>
      </c>
      <c r="M254" s="4">
        <f t="shared" si="13"/>
        <v>56159.71</v>
      </c>
      <c r="N254" s="4">
        <f t="shared" si="14"/>
        <v>14039.95</v>
      </c>
      <c r="O254" s="6">
        <f t="shared" si="15"/>
        <v>0.25000040064309448</v>
      </c>
    </row>
    <row r="255" spans="1:15" ht="15" customHeight="1" x14ac:dyDescent="0.3">
      <c r="A255" s="2">
        <f>Raw_Data!A255</f>
        <v>100254</v>
      </c>
      <c r="B255" s="3" t="e">
        <f>DATEVALUE(Raw_Data!B255)</f>
        <v>#VALUE!</v>
      </c>
      <c r="C255" s="2" t="e">
        <f t="shared" si="12"/>
        <v>#VALUE!</v>
      </c>
      <c r="D255" s="2" t="str">
        <f>PROPER(TRIM(Raw_Data!C255))</f>
        <v>Kabir Singh</v>
      </c>
      <c r="E255" s="2" t="str">
        <f>PROPER(TRIM(Raw_Data!D255))</f>
        <v>South</v>
      </c>
      <c r="F255" s="2" t="str">
        <f>PROPER(TRIM(Raw_Data!E255))</f>
        <v>Office Supplies</v>
      </c>
      <c r="G255" s="2" t="str">
        <f>PROPER(TRIM(Raw_Data!F255))</f>
        <v>Pens</v>
      </c>
      <c r="H255" s="2" t="str">
        <f>Raw_Data!G255</f>
        <v>InkFlow Gel Pack5</v>
      </c>
      <c r="I255" s="2">
        <f>Raw_Data!H255</f>
        <v>8</v>
      </c>
      <c r="J255" s="4">
        <f>Raw_Data!I255</f>
        <v>123.31</v>
      </c>
      <c r="K255" s="4">
        <f>Raw_Data!J255</f>
        <v>55.49</v>
      </c>
      <c r="L255" s="5">
        <f>IF(Raw_Data!K255="",0,Raw_Data!K255)</f>
        <v>0</v>
      </c>
      <c r="M255" s="4">
        <f t="shared" si="13"/>
        <v>986.48</v>
      </c>
      <c r="N255" s="4">
        <f t="shared" si="14"/>
        <v>542.55999999999995</v>
      </c>
      <c r="O255" s="6">
        <f t="shared" si="15"/>
        <v>0.54999594517881756</v>
      </c>
    </row>
    <row r="256" spans="1:15" ht="15" customHeight="1" x14ac:dyDescent="0.3">
      <c r="A256" s="2">
        <f>Raw_Data!A256</f>
        <v>100255</v>
      </c>
      <c r="B256" s="3">
        <f>DATEVALUE(Raw_Data!B256)</f>
        <v>45583</v>
      </c>
      <c r="C256" s="2" t="str">
        <f t="shared" si="12"/>
        <v>Oct-2024</v>
      </c>
      <c r="D256" s="2" t="str">
        <f>PROPER(TRIM(Raw_Data!C256))</f>
        <v>Pranav Rao</v>
      </c>
      <c r="E256" s="2" t="str">
        <f>PROPER(TRIM(Raw_Data!D256))</f>
        <v>South</v>
      </c>
      <c r="F256" s="2" t="str">
        <f>PROPER(TRIM(Raw_Data!E256))</f>
        <v>Clothing</v>
      </c>
      <c r="G256" s="2" t="str">
        <f>PROPER(TRIM(Raw_Data!F256))</f>
        <v>T-Shirts</v>
      </c>
      <c r="H256" s="2" t="str">
        <f>Raw_Data!G256</f>
        <v>CottonBasic</v>
      </c>
      <c r="I256" s="2">
        <f>Raw_Data!H256</f>
        <v>2</v>
      </c>
      <c r="J256" s="4">
        <f>Raw_Data!I256</f>
        <v>455.71</v>
      </c>
      <c r="K256" s="4">
        <f>Raw_Data!J256</f>
        <v>205.07</v>
      </c>
      <c r="L256" s="5">
        <f>IF(Raw_Data!K256="",0,Raw_Data!K256)</f>
        <v>0</v>
      </c>
      <c r="M256" s="4">
        <f t="shared" si="13"/>
        <v>911.42</v>
      </c>
      <c r="N256" s="4">
        <f t="shared" si="14"/>
        <v>501.28</v>
      </c>
      <c r="O256" s="6">
        <f t="shared" si="15"/>
        <v>0.54999890281099817</v>
      </c>
    </row>
    <row r="257" spans="1:15" ht="15" customHeight="1" x14ac:dyDescent="0.3">
      <c r="A257" s="2">
        <f>Raw_Data!A257</f>
        <v>100256</v>
      </c>
      <c r="B257" s="3">
        <f>DATEVALUE(Raw_Data!B257)</f>
        <v>45412</v>
      </c>
      <c r="C257" s="2" t="str">
        <f t="shared" si="12"/>
        <v>Apr-2024</v>
      </c>
      <c r="D257" s="2" t="str">
        <f>PROPER(TRIM(Raw_Data!C257))</f>
        <v>Ananya Bhatt</v>
      </c>
      <c r="E257" s="2" t="str">
        <f>PROPER(TRIM(Raw_Data!D257))</f>
        <v>West</v>
      </c>
      <c r="F257" s="2" t="str">
        <f>PROPER(TRIM(Raw_Data!E257))</f>
        <v>Office Supplies</v>
      </c>
      <c r="G257" s="2" t="str">
        <f>PROPER(TRIM(Raw_Data!F257))</f>
        <v>Paper</v>
      </c>
      <c r="H257" s="2" t="str">
        <f>Raw_Data!G257</f>
        <v>CopyMax A4 Ream</v>
      </c>
      <c r="I257" s="2">
        <f>Raw_Data!H257</f>
        <v>3</v>
      </c>
      <c r="J257" s="4">
        <f>Raw_Data!I257</f>
        <v>245.77</v>
      </c>
      <c r="K257" s="4">
        <f>Raw_Data!J257</f>
        <v>122.89</v>
      </c>
      <c r="L257" s="5">
        <f>IF(Raw_Data!K257="",0,Raw_Data!K257)</f>
        <v>0.2</v>
      </c>
      <c r="M257" s="4">
        <f t="shared" si="13"/>
        <v>589.85</v>
      </c>
      <c r="N257" s="4">
        <f t="shared" si="14"/>
        <v>221.18</v>
      </c>
      <c r="O257" s="6">
        <f t="shared" si="15"/>
        <v>0.37497668898872594</v>
      </c>
    </row>
    <row r="258" spans="1:15" ht="15" customHeight="1" x14ac:dyDescent="0.3">
      <c r="A258" s="2">
        <f>Raw_Data!A258</f>
        <v>100257</v>
      </c>
      <c r="B258" s="3">
        <f>DATEVALUE(Raw_Data!B258)</f>
        <v>45485</v>
      </c>
      <c r="C258" s="2" t="str">
        <f t="shared" ref="C258:C321" si="16">TEXT(B258,"mmm-yyyy")</f>
        <v>Jul-2024</v>
      </c>
      <c r="D258" s="2" t="str">
        <f>PROPER(TRIM(Raw_Data!C258))</f>
        <v>Kabir Rao</v>
      </c>
      <c r="E258" s="2" t="str">
        <f>PROPER(TRIM(Raw_Data!D258))</f>
        <v>North</v>
      </c>
      <c r="F258" s="2" t="str">
        <f>PROPER(TRIM(Raw_Data!E258))</f>
        <v>Electronics</v>
      </c>
      <c r="G258" s="2" t="str">
        <f>PROPER(TRIM(Raw_Data!F258))</f>
        <v>Keyboards</v>
      </c>
      <c r="H258" s="2" t="str">
        <f>Raw_Data!G258</f>
        <v>GamerEdge RGB</v>
      </c>
      <c r="I258" s="2">
        <f>Raw_Data!H258</f>
        <v>4</v>
      </c>
      <c r="J258" s="4">
        <f>Raw_Data!I258</f>
        <v>3222.17</v>
      </c>
      <c r="K258" s="4">
        <f>Raw_Data!J258</f>
        <v>1611.08</v>
      </c>
      <c r="L258" s="5">
        <f>IF(Raw_Data!K258="",0,Raw_Data!K258)</f>
        <v>0.05</v>
      </c>
      <c r="M258" s="4">
        <f t="shared" ref="M258:M321" si="17">ROUND(I258*J258*(1-L258),2)</f>
        <v>12244.25</v>
      </c>
      <c r="N258" s="4">
        <f t="shared" ref="N258:N321" si="18">ROUND(M258-(I258*K258),2)</f>
        <v>5799.93</v>
      </c>
      <c r="O258" s="6">
        <f t="shared" ref="O258:O321" si="19">IFERROR(N258/M258,0)</f>
        <v>0.47368601588500725</v>
      </c>
    </row>
    <row r="259" spans="1:15" ht="15" customHeight="1" x14ac:dyDescent="0.3">
      <c r="A259" s="2">
        <f>Raw_Data!A259</f>
        <v>100258</v>
      </c>
      <c r="B259" s="3">
        <f>DATEVALUE(Raw_Data!B259)</f>
        <v>45543</v>
      </c>
      <c r="C259" s="2" t="str">
        <f t="shared" si="16"/>
        <v>Sep-2024</v>
      </c>
      <c r="D259" s="2" t="str">
        <f>PROPER(TRIM(Raw_Data!C259))</f>
        <v>Vikram Chopra</v>
      </c>
      <c r="E259" s="2" t="str">
        <f>PROPER(TRIM(Raw_Data!D259))</f>
        <v>West</v>
      </c>
      <c r="F259" s="2" t="str">
        <f>PROPER(TRIM(Raw_Data!E259))</f>
        <v>Furniture</v>
      </c>
      <c r="G259" s="2" t="str">
        <f>PROPER(TRIM(Raw_Data!F259))</f>
        <v>Cabinets</v>
      </c>
      <c r="H259" s="2" t="str">
        <f>Raw_Data!G259</f>
        <v>StorageMax Wood</v>
      </c>
      <c r="I259" s="2">
        <f>Raw_Data!H259</f>
        <v>3</v>
      </c>
      <c r="J259" s="4">
        <f>Raw_Data!I259</f>
        <v>4691.2</v>
      </c>
      <c r="K259" s="4">
        <f>Raw_Data!J259</f>
        <v>2955.46</v>
      </c>
      <c r="L259" s="5">
        <f>IF(Raw_Data!K259="",0,Raw_Data!K259)</f>
        <v>0.1</v>
      </c>
      <c r="M259" s="4">
        <f t="shared" si="17"/>
        <v>12666.24</v>
      </c>
      <c r="N259" s="4">
        <f t="shared" si="18"/>
        <v>3799.86</v>
      </c>
      <c r="O259" s="6">
        <f t="shared" si="19"/>
        <v>0.29999905259966653</v>
      </c>
    </row>
    <row r="260" spans="1:15" ht="15" customHeight="1" x14ac:dyDescent="0.3">
      <c r="A260" s="2">
        <f>Raw_Data!A260</f>
        <v>100259</v>
      </c>
      <c r="B260" s="3">
        <f>DATEVALUE(Raw_Data!B260)</f>
        <v>45555</v>
      </c>
      <c r="C260" s="2" t="str">
        <f t="shared" si="16"/>
        <v>Sep-2024</v>
      </c>
      <c r="D260" s="2" t="str">
        <f>PROPER(TRIM(Raw_Data!C260))</f>
        <v>Rohan Malhotra</v>
      </c>
      <c r="E260" s="2" t="str">
        <f>PROPER(TRIM(Raw_Data!D260))</f>
        <v>South</v>
      </c>
      <c r="F260" s="2" t="str">
        <f>PROPER(TRIM(Raw_Data!E260))</f>
        <v>Electronics</v>
      </c>
      <c r="G260" s="2" t="str">
        <f>PROPER(TRIM(Raw_Data!F260))</f>
        <v>Headphones</v>
      </c>
      <c r="H260" s="2" t="str">
        <f>Raw_Data!G260</f>
        <v>StudioFit</v>
      </c>
      <c r="I260" s="2">
        <f>Raw_Data!H260</f>
        <v>7</v>
      </c>
      <c r="J260" s="4">
        <f>Raw_Data!I260</f>
        <v>3367.01</v>
      </c>
      <c r="K260" s="4">
        <f>Raw_Data!J260</f>
        <v>1683.5</v>
      </c>
      <c r="L260" s="5">
        <f>IF(Raw_Data!K260="",0,Raw_Data!K260)</f>
        <v>0.2</v>
      </c>
      <c r="M260" s="4">
        <f t="shared" si="17"/>
        <v>18855.259999999998</v>
      </c>
      <c r="N260" s="4">
        <f t="shared" si="18"/>
        <v>7070.76</v>
      </c>
      <c r="O260" s="6">
        <f t="shared" si="19"/>
        <v>0.37500198883494584</v>
      </c>
    </row>
    <row r="261" spans="1:15" ht="15" customHeight="1" x14ac:dyDescent="0.3">
      <c r="A261" s="2">
        <f>Raw_Data!A261</f>
        <v>100260</v>
      </c>
      <c r="B261" s="3" t="e">
        <f>DATEVALUE(Raw_Data!B261)</f>
        <v>#VALUE!</v>
      </c>
      <c r="C261" s="2" t="e">
        <f t="shared" si="16"/>
        <v>#VALUE!</v>
      </c>
      <c r="D261" s="2" t="str">
        <f>PROPER(TRIM(Raw_Data!C261))</f>
        <v>Sneha Pillai</v>
      </c>
      <c r="E261" s="2" t="str">
        <f>PROPER(TRIM(Raw_Data!D261))</f>
        <v>North</v>
      </c>
      <c r="F261" s="2" t="str">
        <f>PROPER(TRIM(Raw_Data!E261))</f>
        <v>Office Supplies</v>
      </c>
      <c r="G261" s="2" t="str">
        <f>PROPER(TRIM(Raw_Data!F261))</f>
        <v>Pens</v>
      </c>
      <c r="H261" s="2" t="str">
        <f>Raw_Data!G261</f>
        <v>InkFlow Gel Pack5</v>
      </c>
      <c r="I261" s="2">
        <f>Raw_Data!H261</f>
        <v>2</v>
      </c>
      <c r="J261" s="4">
        <f>Raw_Data!I261</f>
        <v>123.5</v>
      </c>
      <c r="K261" s="4">
        <f>Raw_Data!J261</f>
        <v>55.58</v>
      </c>
      <c r="L261" s="5">
        <f>IF(Raw_Data!K261="",0,Raw_Data!K261)</f>
        <v>0.15</v>
      </c>
      <c r="M261" s="4">
        <f t="shared" si="17"/>
        <v>209.95</v>
      </c>
      <c r="N261" s="4">
        <f t="shared" si="18"/>
        <v>98.79</v>
      </c>
      <c r="O261" s="6">
        <f t="shared" si="19"/>
        <v>0.47054060490593003</v>
      </c>
    </row>
    <row r="262" spans="1:15" ht="15" customHeight="1" x14ac:dyDescent="0.3">
      <c r="A262" s="2">
        <f>Raw_Data!A262</f>
        <v>100261</v>
      </c>
      <c r="B262" s="3">
        <f>DATEVALUE(Raw_Data!B262)</f>
        <v>45558</v>
      </c>
      <c r="C262" s="2" t="str">
        <f t="shared" si="16"/>
        <v>Sep-2024</v>
      </c>
      <c r="D262" s="2" t="str">
        <f>PROPER(TRIM(Raw_Data!C262))</f>
        <v>Sneha Reddy</v>
      </c>
      <c r="E262" s="2" t="str">
        <f>PROPER(TRIM(Raw_Data!D262))</f>
        <v>North</v>
      </c>
      <c r="F262" s="2" t="str">
        <f>PROPER(TRIM(Raw_Data!E262))</f>
        <v>Furniture</v>
      </c>
      <c r="G262" s="2" t="str">
        <f>PROPER(TRIM(Raw_Data!F262))</f>
        <v>Bookshelves</v>
      </c>
      <c r="H262" s="2" t="str">
        <f>Raw_Data!G262</f>
        <v>WoodCraft 5-Tier</v>
      </c>
      <c r="I262" s="2">
        <f>Raw_Data!H262</f>
        <v>1</v>
      </c>
      <c r="J262" s="4">
        <f>Raw_Data!I262</f>
        <v>3576.51</v>
      </c>
      <c r="K262" s="4">
        <f>Raw_Data!J262</f>
        <v>2145.91</v>
      </c>
      <c r="L262" s="5">
        <f>IF(Raw_Data!K262="",0,Raw_Data!K262)</f>
        <v>0.1</v>
      </c>
      <c r="M262" s="4">
        <f t="shared" si="17"/>
        <v>3218.86</v>
      </c>
      <c r="N262" s="4">
        <f t="shared" si="18"/>
        <v>1072.95</v>
      </c>
      <c r="O262" s="6">
        <f t="shared" si="19"/>
        <v>0.33333229777001794</v>
      </c>
    </row>
    <row r="263" spans="1:15" ht="15" customHeight="1" x14ac:dyDescent="0.3">
      <c r="A263" s="2">
        <f>Raw_Data!A263</f>
        <v>100262</v>
      </c>
      <c r="B263" s="3">
        <f>DATEVALUE(Raw_Data!B263)</f>
        <v>45649</v>
      </c>
      <c r="C263" s="2" t="str">
        <f t="shared" si="16"/>
        <v>Dec-2024</v>
      </c>
      <c r="D263" s="2" t="str">
        <f>PROPER(TRIM(Raw_Data!C263))</f>
        <v>Meera Gupta</v>
      </c>
      <c r="E263" s="2" t="str">
        <f>PROPER(TRIM(Raw_Data!D263))</f>
        <v>West</v>
      </c>
      <c r="F263" s="2" t="str">
        <f>PROPER(TRIM(Raw_Data!E263))</f>
        <v>Office Supplies</v>
      </c>
      <c r="G263" s="2" t="str">
        <f>PROPER(TRIM(Raw_Data!F263))</f>
        <v>Binders</v>
      </c>
      <c r="H263" s="2" t="str">
        <f>Raw_Data!G263</f>
        <v>ClampBind Pro</v>
      </c>
      <c r="I263" s="2">
        <f>Raw_Data!H263</f>
        <v>10</v>
      </c>
      <c r="J263" s="4">
        <f>Raw_Data!I263</f>
        <v>204.97</v>
      </c>
      <c r="K263" s="4">
        <f>Raw_Data!J263</f>
        <v>98.38</v>
      </c>
      <c r="L263" s="5">
        <f>IF(Raw_Data!K263="",0,Raw_Data!K263)</f>
        <v>0</v>
      </c>
      <c r="M263" s="4">
        <f t="shared" si="17"/>
        <v>2049.6999999999998</v>
      </c>
      <c r="N263" s="4">
        <f t="shared" si="18"/>
        <v>1065.9000000000001</v>
      </c>
      <c r="O263" s="6">
        <f t="shared" si="19"/>
        <v>0.52002732107137639</v>
      </c>
    </row>
    <row r="264" spans="1:15" ht="15" customHeight="1" x14ac:dyDescent="0.3">
      <c r="A264" s="2">
        <f>Raw_Data!A264</f>
        <v>100263</v>
      </c>
      <c r="B264" s="3">
        <f>DATEVALUE(Raw_Data!B264)</f>
        <v>45490</v>
      </c>
      <c r="C264" s="2" t="str">
        <f t="shared" si="16"/>
        <v>Jul-2024</v>
      </c>
      <c r="D264" s="2" t="str">
        <f>PROPER(TRIM(Raw_Data!C264))</f>
        <v>Rahul Gupta</v>
      </c>
      <c r="E264" s="2" t="str">
        <f>PROPER(TRIM(Raw_Data!D264))</f>
        <v>South</v>
      </c>
      <c r="F264" s="2" t="str">
        <f>PROPER(TRIM(Raw_Data!E264))</f>
        <v>Furniture</v>
      </c>
      <c r="G264" s="2" t="str">
        <f>PROPER(TRIM(Raw_Data!F264))</f>
        <v>Cabinets</v>
      </c>
      <c r="H264" s="2" t="str">
        <f>Raw_Data!G264</f>
        <v>StorageMax Wood</v>
      </c>
      <c r="I264" s="2">
        <f>Raw_Data!H264</f>
        <v>10</v>
      </c>
      <c r="J264" s="4">
        <f>Raw_Data!I264</f>
        <v>4467.84</v>
      </c>
      <c r="K264" s="4">
        <f>Raw_Data!J264</f>
        <v>2814.74</v>
      </c>
      <c r="L264" s="5">
        <f>IF(Raw_Data!K264="",0,Raw_Data!K264)</f>
        <v>0</v>
      </c>
      <c r="M264" s="4">
        <f t="shared" si="17"/>
        <v>44678.400000000001</v>
      </c>
      <c r="N264" s="4">
        <f t="shared" si="18"/>
        <v>16531</v>
      </c>
      <c r="O264" s="6">
        <f t="shared" si="19"/>
        <v>0.36999982094255834</v>
      </c>
    </row>
    <row r="265" spans="1:15" ht="15" customHeight="1" x14ac:dyDescent="0.3">
      <c r="A265" s="2">
        <f>Raw_Data!A265</f>
        <v>100264</v>
      </c>
      <c r="B265" s="3" t="e">
        <f>DATEVALUE(Raw_Data!B265)</f>
        <v>#VALUE!</v>
      </c>
      <c r="C265" s="2" t="e">
        <f t="shared" si="16"/>
        <v>#VALUE!</v>
      </c>
      <c r="D265" s="2" t="str">
        <f>PROPER(TRIM(Raw_Data!C265))</f>
        <v>Pranav Agarwal</v>
      </c>
      <c r="E265" s="2" t="str">
        <f>PROPER(TRIM(Raw_Data!D265))</f>
        <v>East</v>
      </c>
      <c r="F265" s="2" t="str">
        <f>PROPER(TRIM(Raw_Data!E265))</f>
        <v>Clothing</v>
      </c>
      <c r="G265" s="2" t="str">
        <f>PROPER(TRIM(Raw_Data!F265))</f>
        <v>Bags</v>
      </c>
      <c r="H265" s="2" t="str">
        <f>Raw_Data!G265</f>
        <v>TravelMax Duffel</v>
      </c>
      <c r="I265" s="2">
        <f>Raw_Data!H265</f>
        <v>4</v>
      </c>
      <c r="J265" s="4">
        <f>Raw_Data!I265</f>
        <v>1887.25</v>
      </c>
      <c r="K265" s="4">
        <f>Raw_Data!J265</f>
        <v>943.62</v>
      </c>
      <c r="L265" s="5">
        <f>IF(Raw_Data!K265="",0,Raw_Data!K265)</f>
        <v>0.2</v>
      </c>
      <c r="M265" s="4">
        <f t="shared" si="17"/>
        <v>6039.2</v>
      </c>
      <c r="N265" s="4">
        <f t="shared" si="18"/>
        <v>2264.7199999999998</v>
      </c>
      <c r="O265" s="6">
        <f t="shared" si="19"/>
        <v>0.37500331169691348</v>
      </c>
    </row>
    <row r="266" spans="1:15" ht="15" customHeight="1" x14ac:dyDescent="0.3">
      <c r="A266" s="2">
        <f>Raw_Data!A266</f>
        <v>100265</v>
      </c>
      <c r="B266" s="3">
        <f>DATEVALUE(Raw_Data!B266)</f>
        <v>45509</v>
      </c>
      <c r="C266" s="2" t="str">
        <f t="shared" si="16"/>
        <v>Aug-2024</v>
      </c>
      <c r="D266" s="2" t="str">
        <f>PROPER(TRIM(Raw_Data!C266))</f>
        <v>Aditya Malhotra</v>
      </c>
      <c r="E266" s="2" t="str">
        <f>PROPER(TRIM(Raw_Data!D266))</f>
        <v>South</v>
      </c>
      <c r="F266" s="2" t="str">
        <f>PROPER(TRIM(Raw_Data!E266))</f>
        <v>Office Supplies</v>
      </c>
      <c r="G266" s="2" t="str">
        <f>PROPER(TRIM(Raw_Data!F266))</f>
        <v>Binders</v>
      </c>
      <c r="H266" s="2" t="str">
        <f>Raw_Data!G266</f>
        <v>ClampBind Pro</v>
      </c>
      <c r="I266" s="2">
        <f>Raw_Data!H266</f>
        <v>9</v>
      </c>
      <c r="J266" s="4">
        <f>Raw_Data!I266</f>
        <v>214.12</v>
      </c>
      <c r="K266" s="4">
        <f>Raw_Data!J266</f>
        <v>102.78</v>
      </c>
      <c r="L266" s="5">
        <f>IF(Raw_Data!K266="",0,Raw_Data!K266)</f>
        <v>0.15</v>
      </c>
      <c r="M266" s="4">
        <f t="shared" si="17"/>
        <v>1638.02</v>
      </c>
      <c r="N266" s="4">
        <f t="shared" si="18"/>
        <v>713</v>
      </c>
      <c r="O266" s="6">
        <f t="shared" si="19"/>
        <v>0.43528162049303426</v>
      </c>
    </row>
    <row r="267" spans="1:15" ht="15" customHeight="1" x14ac:dyDescent="0.3">
      <c r="A267" s="2">
        <f>Raw_Data!A267</f>
        <v>100266</v>
      </c>
      <c r="B267" s="3" t="e">
        <f>DATEVALUE(Raw_Data!B267)</f>
        <v>#VALUE!</v>
      </c>
      <c r="C267" s="2" t="e">
        <f t="shared" si="16"/>
        <v>#VALUE!</v>
      </c>
      <c r="D267" s="2" t="str">
        <f>PROPER(TRIM(Raw_Data!C267))</f>
        <v>Sai Nair</v>
      </c>
      <c r="E267" s="2" t="str">
        <f>PROPER(TRIM(Raw_Data!D267))</f>
        <v>East</v>
      </c>
      <c r="F267" s="2" t="str">
        <f>PROPER(TRIM(Raw_Data!E267))</f>
        <v>Furniture</v>
      </c>
      <c r="G267" s="2" t="str">
        <f>PROPER(TRIM(Raw_Data!F267))</f>
        <v>Desks</v>
      </c>
      <c r="H267" s="2" t="str">
        <f>Raw_Data!G267</f>
        <v>CornerFit Desk</v>
      </c>
      <c r="I267" s="2">
        <f>Raw_Data!H267</f>
        <v>12</v>
      </c>
      <c r="J267" s="4">
        <f>Raw_Data!I267</f>
        <v>9564.3799999999992</v>
      </c>
      <c r="K267" s="4">
        <f>Raw_Data!J267</f>
        <v>5547.34</v>
      </c>
      <c r="L267" s="5">
        <f>IF(Raw_Data!K267="",0,Raw_Data!K267)</f>
        <v>0.15</v>
      </c>
      <c r="M267" s="4">
        <f t="shared" si="17"/>
        <v>97556.68</v>
      </c>
      <c r="N267" s="4">
        <f t="shared" si="18"/>
        <v>30988.6</v>
      </c>
      <c r="O267" s="6">
        <f t="shared" si="19"/>
        <v>0.31764713600339822</v>
      </c>
    </row>
    <row r="268" spans="1:15" ht="15" customHeight="1" x14ac:dyDescent="0.3">
      <c r="A268" s="2">
        <f>Raw_Data!A268</f>
        <v>100267</v>
      </c>
      <c r="B268" s="3" t="e">
        <f>DATEVALUE(Raw_Data!B268)</f>
        <v>#VALUE!</v>
      </c>
      <c r="C268" s="2" t="e">
        <f t="shared" si="16"/>
        <v>#VALUE!</v>
      </c>
      <c r="D268" s="2" t="str">
        <f>PROPER(TRIM(Raw_Data!C268))</f>
        <v>Neha Reddy</v>
      </c>
      <c r="E268" s="2" t="str">
        <f>PROPER(TRIM(Raw_Data!D268))</f>
        <v>West</v>
      </c>
      <c r="F268" s="2" t="str">
        <f>PROPER(TRIM(Raw_Data!E268))</f>
        <v>Electronics</v>
      </c>
      <c r="G268" s="2" t="str">
        <f>PROPER(TRIM(Raw_Data!F268))</f>
        <v>Laptops</v>
      </c>
      <c r="H268" s="2" t="str">
        <f>Raw_Data!G268</f>
        <v>UltraSlim X1</v>
      </c>
      <c r="I268" s="2">
        <f>Raw_Data!H268</f>
        <v>6</v>
      </c>
      <c r="J268" s="4">
        <f>Raw_Data!I268</f>
        <v>63902.58</v>
      </c>
      <c r="K268" s="4">
        <f>Raw_Data!J268</f>
        <v>38341.550000000003</v>
      </c>
      <c r="L268" s="5">
        <f>IF(Raw_Data!K268="",0,Raw_Data!K268)</f>
        <v>0.1</v>
      </c>
      <c r="M268" s="4">
        <f t="shared" si="17"/>
        <v>345073.93</v>
      </c>
      <c r="N268" s="4">
        <f t="shared" si="18"/>
        <v>115024.63</v>
      </c>
      <c r="O268" s="6">
        <f t="shared" si="19"/>
        <v>0.33333329469427031</v>
      </c>
    </row>
    <row r="269" spans="1:15" ht="15" customHeight="1" x14ac:dyDescent="0.3">
      <c r="A269" s="2">
        <f>Raw_Data!A269</f>
        <v>100268</v>
      </c>
      <c r="B269" s="3">
        <f>DATEVALUE(Raw_Data!B269)</f>
        <v>45366</v>
      </c>
      <c r="C269" s="2" t="str">
        <f t="shared" si="16"/>
        <v>Mar-2024</v>
      </c>
      <c r="D269" s="2" t="str">
        <f>PROPER(TRIM(Raw_Data!C269))</f>
        <v>Karan Pillai</v>
      </c>
      <c r="E269" s="2" t="str">
        <f>PROPER(TRIM(Raw_Data!D269))</f>
        <v>West</v>
      </c>
      <c r="F269" s="2" t="str">
        <f>PROPER(TRIM(Raw_Data!E269))</f>
        <v>Clothing</v>
      </c>
      <c r="G269" s="2" t="str">
        <f>PROPER(TRIM(Raw_Data!F269))</f>
        <v>T-Shirts</v>
      </c>
      <c r="H269" s="2" t="str">
        <f>Raw_Data!G269</f>
        <v>ActiveDry Sport</v>
      </c>
      <c r="I269" s="2">
        <f>Raw_Data!H269</f>
        <v>7</v>
      </c>
      <c r="J269" s="4">
        <f>Raw_Data!I269</f>
        <v>690.2</v>
      </c>
      <c r="K269" s="4">
        <f>Raw_Data!J269</f>
        <v>310.58999999999997</v>
      </c>
      <c r="L269" s="5">
        <f>IF(Raw_Data!K269="",0,Raw_Data!K269)</f>
        <v>0.2</v>
      </c>
      <c r="M269" s="4">
        <f t="shared" si="17"/>
        <v>3865.12</v>
      </c>
      <c r="N269" s="4">
        <f t="shared" si="18"/>
        <v>1690.99</v>
      </c>
      <c r="O269" s="6">
        <f t="shared" si="19"/>
        <v>0.4375</v>
      </c>
    </row>
    <row r="270" spans="1:15" ht="15" customHeight="1" x14ac:dyDescent="0.3">
      <c r="A270" s="2">
        <f>Raw_Data!A270</f>
        <v>100269</v>
      </c>
      <c r="B270" s="3">
        <f>DATEVALUE(Raw_Data!B270)</f>
        <v>45455</v>
      </c>
      <c r="C270" s="2" t="str">
        <f t="shared" si="16"/>
        <v>Jun-2024</v>
      </c>
      <c r="D270" s="2" t="str">
        <f>PROPER(TRIM(Raw_Data!C270))</f>
        <v>Neha Rao</v>
      </c>
      <c r="E270" s="2" t="str">
        <f>PROPER(TRIM(Raw_Data!D270))</f>
        <v>East</v>
      </c>
      <c r="F270" s="2" t="str">
        <f>PROPER(TRIM(Raw_Data!E270))</f>
        <v>Furniture</v>
      </c>
      <c r="G270" s="2" t="str">
        <f>PROPER(TRIM(Raw_Data!F270))</f>
        <v>Bookshelves</v>
      </c>
      <c r="H270" s="2" t="str">
        <f>Raw_Data!G270</f>
        <v>WoodCraft 5-Tier</v>
      </c>
      <c r="I270" s="2">
        <f>Raw_Data!H270</f>
        <v>5</v>
      </c>
      <c r="J270" s="4">
        <f>Raw_Data!I270</f>
        <v>3438.33</v>
      </c>
      <c r="K270" s="4">
        <f>Raw_Data!J270</f>
        <v>2063</v>
      </c>
      <c r="L270" s="5">
        <f>IF(Raw_Data!K270="",0,Raw_Data!K270)</f>
        <v>0.1</v>
      </c>
      <c r="M270" s="4">
        <f t="shared" si="17"/>
        <v>15472.49</v>
      </c>
      <c r="N270" s="4">
        <f t="shared" si="18"/>
        <v>5157.49</v>
      </c>
      <c r="O270" s="6">
        <f t="shared" si="19"/>
        <v>0.33333290246107766</v>
      </c>
    </row>
    <row r="271" spans="1:15" ht="15" customHeight="1" x14ac:dyDescent="0.3">
      <c r="A271" s="2">
        <f>Raw_Data!A271</f>
        <v>100270</v>
      </c>
      <c r="B271" s="3" t="e">
        <f>DATEVALUE(Raw_Data!B271)</f>
        <v>#VALUE!</v>
      </c>
      <c r="C271" s="2" t="e">
        <f t="shared" si="16"/>
        <v>#VALUE!</v>
      </c>
      <c r="D271" s="2" t="str">
        <f>PROPER(TRIM(Raw_Data!C271))</f>
        <v>Sai Patel</v>
      </c>
      <c r="E271" s="2" t="str">
        <f>PROPER(TRIM(Raw_Data!D271))</f>
        <v>South</v>
      </c>
      <c r="F271" s="2" t="str">
        <f>PROPER(TRIM(Raw_Data!E271))</f>
        <v>Furniture</v>
      </c>
      <c r="G271" s="2" t="str">
        <f>PROPER(TRIM(Raw_Data!F271))</f>
        <v>Chairs</v>
      </c>
      <c r="H271" s="2" t="str">
        <f>Raw_Data!G271</f>
        <v>MeshFlex Pro</v>
      </c>
      <c r="I271" s="2">
        <f>Raw_Data!H271</f>
        <v>5</v>
      </c>
      <c r="J271" s="4">
        <f>Raw_Data!I271</f>
        <v>7487.17</v>
      </c>
      <c r="K271" s="4">
        <f>Raw_Data!J271</f>
        <v>4642.05</v>
      </c>
      <c r="L271" s="5">
        <f>IF(Raw_Data!K271="",0,Raw_Data!K271)</f>
        <v>0.1</v>
      </c>
      <c r="M271" s="4">
        <f t="shared" si="17"/>
        <v>33692.269999999997</v>
      </c>
      <c r="N271" s="4">
        <f t="shared" si="18"/>
        <v>10482.02</v>
      </c>
      <c r="O271" s="6">
        <f t="shared" si="19"/>
        <v>0.31111053069442934</v>
      </c>
    </row>
    <row r="272" spans="1:15" ht="15" customHeight="1" x14ac:dyDescent="0.3">
      <c r="A272" s="2">
        <f>Raw_Data!A272</f>
        <v>100271</v>
      </c>
      <c r="B272" s="3">
        <f>DATEVALUE(Raw_Data!B272)</f>
        <v>45477</v>
      </c>
      <c r="C272" s="2" t="str">
        <f t="shared" si="16"/>
        <v>Jul-2024</v>
      </c>
      <c r="D272" s="2" t="str">
        <f>PROPER(TRIM(Raw_Data!C272))</f>
        <v>Vivaan Iyer</v>
      </c>
      <c r="E272" s="2" t="str">
        <f>PROPER(TRIM(Raw_Data!D272))</f>
        <v>East</v>
      </c>
      <c r="F272" s="2" t="str">
        <f>PROPER(TRIM(Raw_Data!E272))</f>
        <v>Clothing</v>
      </c>
      <c r="G272" s="2" t="str">
        <f>PROPER(TRIM(Raw_Data!F272))</f>
        <v>Shoes</v>
      </c>
      <c r="H272" s="2" t="str">
        <f>Raw_Data!G272</f>
        <v>RunFast Sport</v>
      </c>
      <c r="I272" s="2">
        <f>Raw_Data!H272</f>
        <v>9</v>
      </c>
      <c r="J272" s="4">
        <f>Raw_Data!I272</f>
        <v>2760.17</v>
      </c>
      <c r="K272" s="4">
        <f>Raw_Data!J272</f>
        <v>1324.88</v>
      </c>
      <c r="L272" s="5">
        <f>IF(Raw_Data!K272="",0,Raw_Data!K272)</f>
        <v>0</v>
      </c>
      <c r="M272" s="4">
        <f t="shared" si="17"/>
        <v>24841.53</v>
      </c>
      <c r="N272" s="4">
        <f t="shared" si="18"/>
        <v>12917.61</v>
      </c>
      <c r="O272" s="6">
        <f t="shared" si="19"/>
        <v>0.52000057967444036</v>
      </c>
    </row>
    <row r="273" spans="1:15" ht="15" customHeight="1" x14ac:dyDescent="0.3">
      <c r="A273" s="2">
        <f>Raw_Data!A273</f>
        <v>100272</v>
      </c>
      <c r="B273" s="3">
        <f>DATEVALUE(Raw_Data!B273)</f>
        <v>45572</v>
      </c>
      <c r="C273" s="2" t="str">
        <f t="shared" si="16"/>
        <v>Oct-2024</v>
      </c>
      <c r="D273" s="2" t="str">
        <f>PROPER(TRIM(Raw_Data!C273))</f>
        <v>Aman Mehta</v>
      </c>
      <c r="E273" s="2" t="str">
        <f>PROPER(TRIM(Raw_Data!D273))</f>
        <v>East</v>
      </c>
      <c r="F273" s="2" t="str">
        <f>PROPER(TRIM(Raw_Data!E273))</f>
        <v>Office Supplies</v>
      </c>
      <c r="G273" s="2" t="str">
        <f>PROPER(TRIM(Raw_Data!F273))</f>
        <v>Paper</v>
      </c>
      <c r="H273" s="2" t="str">
        <f>Raw_Data!G273</f>
        <v>CopyMax A4 Ream</v>
      </c>
      <c r="I273" s="2">
        <f>Raw_Data!H273</f>
        <v>2</v>
      </c>
      <c r="J273" s="4">
        <f>Raw_Data!I273</f>
        <v>248.91</v>
      </c>
      <c r="K273" s="4">
        <f>Raw_Data!J273</f>
        <v>124.46</v>
      </c>
      <c r="L273" s="5">
        <f>IF(Raw_Data!K273="",0,Raw_Data!K273)</f>
        <v>0.15</v>
      </c>
      <c r="M273" s="4">
        <f t="shared" si="17"/>
        <v>423.15</v>
      </c>
      <c r="N273" s="4">
        <f t="shared" si="18"/>
        <v>174.23</v>
      </c>
      <c r="O273" s="6">
        <f t="shared" si="19"/>
        <v>0.41174524400330853</v>
      </c>
    </row>
    <row r="274" spans="1:15" ht="15" customHeight="1" x14ac:dyDescent="0.3">
      <c r="A274" s="2">
        <f>Raw_Data!A274</f>
        <v>100273</v>
      </c>
      <c r="B274" s="3" t="e">
        <f>DATEVALUE(Raw_Data!B274)</f>
        <v>#VALUE!</v>
      </c>
      <c r="C274" s="2" t="e">
        <f t="shared" si="16"/>
        <v>#VALUE!</v>
      </c>
      <c r="D274" s="2" t="str">
        <f>PROPER(TRIM(Raw_Data!C274))</f>
        <v>Yash Gupta</v>
      </c>
      <c r="E274" s="2" t="str">
        <f>PROPER(TRIM(Raw_Data!D274))</f>
        <v>East</v>
      </c>
      <c r="F274" s="2" t="str">
        <f>PROPER(TRIM(Raw_Data!E274))</f>
        <v>Clothing</v>
      </c>
      <c r="G274" s="2" t="str">
        <f>PROPER(TRIM(Raw_Data!F274))</f>
        <v>Jackets</v>
      </c>
      <c r="H274" s="2" t="str">
        <f>Raw_Data!G274</f>
        <v>WinterGuard</v>
      </c>
      <c r="I274" s="2">
        <f>Raw_Data!H274</f>
        <v>11</v>
      </c>
      <c r="J274" s="4">
        <f>Raw_Data!I274</f>
        <v>2954.01</v>
      </c>
      <c r="K274" s="4">
        <f>Raw_Data!J274</f>
        <v>1477</v>
      </c>
      <c r="L274" s="5">
        <f>IF(Raw_Data!K274="",0,Raw_Data!K274)</f>
        <v>0.05</v>
      </c>
      <c r="M274" s="4">
        <f t="shared" si="17"/>
        <v>30869.4</v>
      </c>
      <c r="N274" s="4">
        <f t="shared" si="18"/>
        <v>14622.4</v>
      </c>
      <c r="O274" s="6">
        <f t="shared" si="19"/>
        <v>0.47368591550208294</v>
      </c>
    </row>
    <row r="275" spans="1:15" ht="15" customHeight="1" x14ac:dyDescent="0.3">
      <c r="A275" s="2">
        <f>Raw_Data!A275</f>
        <v>100274</v>
      </c>
      <c r="B275" s="3">
        <f>DATEVALUE(Raw_Data!B275)</f>
        <v>45479</v>
      </c>
      <c r="C275" s="2" t="str">
        <f t="shared" si="16"/>
        <v>Jul-2024</v>
      </c>
      <c r="D275" s="2" t="str">
        <f>PROPER(TRIM(Raw_Data!C275))</f>
        <v>Yash Sharma</v>
      </c>
      <c r="E275" s="2" t="str">
        <f>PROPER(TRIM(Raw_Data!D275))</f>
        <v>West</v>
      </c>
      <c r="F275" s="2" t="str">
        <f>PROPER(TRIM(Raw_Data!E275))</f>
        <v>Office Supplies</v>
      </c>
      <c r="G275" s="2" t="str">
        <f>PROPER(TRIM(Raw_Data!F275))</f>
        <v>Binders</v>
      </c>
      <c r="H275" s="2" t="str">
        <f>Raw_Data!G275</f>
        <v>ClampBind Pro</v>
      </c>
      <c r="I275" s="2">
        <f>Raw_Data!H275</f>
        <v>12</v>
      </c>
      <c r="J275" s="4">
        <f>Raw_Data!I275</f>
        <v>215.52</v>
      </c>
      <c r="K275" s="4">
        <f>Raw_Data!J275</f>
        <v>103.45</v>
      </c>
      <c r="L275" s="5">
        <f>IF(Raw_Data!K275="",0,Raw_Data!K275)</f>
        <v>0.1</v>
      </c>
      <c r="M275" s="4">
        <f t="shared" si="17"/>
        <v>2327.62</v>
      </c>
      <c r="N275" s="4">
        <f t="shared" si="18"/>
        <v>1086.22</v>
      </c>
      <c r="O275" s="6">
        <f t="shared" si="19"/>
        <v>0.46666552100428765</v>
      </c>
    </row>
    <row r="276" spans="1:15" ht="15" customHeight="1" x14ac:dyDescent="0.3">
      <c r="A276" s="2">
        <f>Raw_Data!A276</f>
        <v>100275</v>
      </c>
      <c r="B276" s="3">
        <f>DATEVALUE(Raw_Data!B276)</f>
        <v>45490</v>
      </c>
      <c r="C276" s="2" t="str">
        <f t="shared" si="16"/>
        <v>Jul-2024</v>
      </c>
      <c r="D276" s="2" t="str">
        <f>PROPER(TRIM(Raw_Data!C276))</f>
        <v>Ishaan Joshi</v>
      </c>
      <c r="E276" s="2" t="str">
        <f>PROPER(TRIM(Raw_Data!D276))</f>
        <v>West</v>
      </c>
      <c r="F276" s="2" t="str">
        <f>PROPER(TRIM(Raw_Data!E276))</f>
        <v>Electronics</v>
      </c>
      <c r="G276" s="2" t="str">
        <f>PROPER(TRIM(Raw_Data!F276))</f>
        <v>Laptops</v>
      </c>
      <c r="H276" s="2" t="str">
        <f>Raw_Data!G276</f>
        <v>ProBook 14</v>
      </c>
      <c r="I276" s="2">
        <f>Raw_Data!H276</f>
        <v>8</v>
      </c>
      <c r="J276" s="4">
        <f>Raw_Data!I276</f>
        <v>45958.34</v>
      </c>
      <c r="K276" s="4">
        <f>Raw_Data!J276</f>
        <v>29872.92</v>
      </c>
      <c r="L276" s="5">
        <f>IF(Raw_Data!K276="",0,Raw_Data!K276)</f>
        <v>0</v>
      </c>
      <c r="M276" s="4">
        <f t="shared" si="17"/>
        <v>367666.72</v>
      </c>
      <c r="N276" s="4">
        <f t="shared" si="18"/>
        <v>128683.36</v>
      </c>
      <c r="O276" s="6">
        <f t="shared" si="19"/>
        <v>0.35000002175883638</v>
      </c>
    </row>
    <row r="277" spans="1:15" ht="15" customHeight="1" x14ac:dyDescent="0.3">
      <c r="A277" s="2">
        <f>Raw_Data!A277</f>
        <v>100276</v>
      </c>
      <c r="B277" s="3" t="e">
        <f>DATEVALUE(Raw_Data!B277)</f>
        <v>#VALUE!</v>
      </c>
      <c r="C277" s="2" t="e">
        <f t="shared" si="16"/>
        <v>#VALUE!</v>
      </c>
      <c r="D277" s="2" t="str">
        <f>PROPER(TRIM(Raw_Data!C277))</f>
        <v>Yash Das</v>
      </c>
      <c r="E277" s="2" t="str">
        <f>PROPER(TRIM(Raw_Data!D277))</f>
        <v>West</v>
      </c>
      <c r="F277" s="2" t="str">
        <f>PROPER(TRIM(Raw_Data!E277))</f>
        <v>Furniture</v>
      </c>
      <c r="G277" s="2" t="str">
        <f>PROPER(TRIM(Raw_Data!F277))</f>
        <v>Desks</v>
      </c>
      <c r="H277" s="2" t="str">
        <f>Raw_Data!G277</f>
        <v>CompactWork</v>
      </c>
      <c r="I277" s="2">
        <f>Raw_Data!H277</f>
        <v>3</v>
      </c>
      <c r="J277" s="4">
        <f>Raw_Data!I277</f>
        <v>3910.23</v>
      </c>
      <c r="K277" s="4">
        <f>Raw_Data!J277</f>
        <v>2541.65</v>
      </c>
      <c r="L277" s="5">
        <f>IF(Raw_Data!K277="",0,Raw_Data!K277)</f>
        <v>0.15</v>
      </c>
      <c r="M277" s="4">
        <f t="shared" si="17"/>
        <v>9971.09</v>
      </c>
      <c r="N277" s="4">
        <f t="shared" si="18"/>
        <v>2346.14</v>
      </c>
      <c r="O277" s="6">
        <f t="shared" si="19"/>
        <v>0.23529423563522142</v>
      </c>
    </row>
    <row r="278" spans="1:15" ht="15" customHeight="1" x14ac:dyDescent="0.3">
      <c r="A278" s="2">
        <f>Raw_Data!A278</f>
        <v>100277</v>
      </c>
      <c r="B278" s="3" t="e">
        <f>DATEVALUE(Raw_Data!B278)</f>
        <v>#VALUE!</v>
      </c>
      <c r="C278" s="2" t="e">
        <f t="shared" si="16"/>
        <v>#VALUE!</v>
      </c>
      <c r="D278" s="2" t="str">
        <f>PROPER(TRIM(Raw_Data!C278))</f>
        <v>Saanvi Rao</v>
      </c>
      <c r="E278" s="2" t="str">
        <f>PROPER(TRIM(Raw_Data!D278))</f>
        <v>South</v>
      </c>
      <c r="F278" s="2" t="str">
        <f>PROPER(TRIM(Raw_Data!E278))</f>
        <v>Clothing</v>
      </c>
      <c r="G278" s="2" t="str">
        <f>PROPER(TRIM(Raw_Data!F278))</f>
        <v>Bags</v>
      </c>
      <c r="H278" s="2" t="str">
        <f>Raw_Data!G278</f>
        <v>TravelMax Duffel</v>
      </c>
      <c r="I278" s="2">
        <f>Raw_Data!H278</f>
        <v>6</v>
      </c>
      <c r="J278" s="4">
        <f>Raw_Data!I278</f>
        <v>1822.71</v>
      </c>
      <c r="K278" s="4">
        <f>Raw_Data!J278</f>
        <v>911.35</v>
      </c>
      <c r="L278" s="5">
        <f>IF(Raw_Data!K278="",0,Raw_Data!K278)</f>
        <v>0</v>
      </c>
      <c r="M278" s="4">
        <f t="shared" si="17"/>
        <v>10936.26</v>
      </c>
      <c r="N278" s="4">
        <f t="shared" si="18"/>
        <v>5468.16</v>
      </c>
      <c r="O278" s="6">
        <f t="shared" si="19"/>
        <v>0.50000274316813975</v>
      </c>
    </row>
    <row r="279" spans="1:15" ht="15" customHeight="1" x14ac:dyDescent="0.3">
      <c r="A279" s="2">
        <f>Raw_Data!A279</f>
        <v>100278</v>
      </c>
      <c r="B279" s="3">
        <f>DATEVALUE(Raw_Data!B279)</f>
        <v>45432</v>
      </c>
      <c r="C279" s="2" t="str">
        <f t="shared" si="16"/>
        <v>May-2024</v>
      </c>
      <c r="D279" s="2" t="str">
        <f>PROPER(TRIM(Raw_Data!C279))</f>
        <v>Nikhil Sharma</v>
      </c>
      <c r="E279" s="2" t="str">
        <f>PROPER(TRIM(Raw_Data!D279))</f>
        <v>West</v>
      </c>
      <c r="F279" s="2" t="str">
        <f>PROPER(TRIM(Raw_Data!E279))</f>
        <v>Electronics</v>
      </c>
      <c r="G279" s="2" t="str">
        <f>PROPER(TRIM(Raw_Data!F279))</f>
        <v>Keyboards</v>
      </c>
      <c r="H279" s="2" t="str">
        <f>Raw_Data!G279</f>
        <v>SilentBoard</v>
      </c>
      <c r="I279" s="2">
        <f>Raw_Data!H279</f>
        <v>5</v>
      </c>
      <c r="J279" s="4">
        <f>Raw_Data!I279</f>
        <v>903.63</v>
      </c>
      <c r="K279" s="4">
        <f>Raw_Data!J279</f>
        <v>542.17999999999995</v>
      </c>
      <c r="L279" s="5">
        <f>IF(Raw_Data!K279="",0,Raw_Data!K279)</f>
        <v>0.1</v>
      </c>
      <c r="M279" s="4">
        <f t="shared" si="17"/>
        <v>4066.34</v>
      </c>
      <c r="N279" s="4">
        <f t="shared" si="18"/>
        <v>1355.44</v>
      </c>
      <c r="O279" s="6">
        <f t="shared" si="19"/>
        <v>0.33333169385737543</v>
      </c>
    </row>
    <row r="280" spans="1:15" ht="15" customHeight="1" x14ac:dyDescent="0.3">
      <c r="A280" s="2">
        <f>Raw_Data!A280</f>
        <v>100279</v>
      </c>
      <c r="B280" s="3" t="e">
        <f>DATEVALUE(Raw_Data!B280)</f>
        <v>#VALUE!</v>
      </c>
      <c r="C280" s="2" t="e">
        <f t="shared" si="16"/>
        <v>#VALUE!</v>
      </c>
      <c r="D280" s="2" t="str">
        <f>PROPER(TRIM(Raw_Data!C280))</f>
        <v>Ananya Shah</v>
      </c>
      <c r="E280" s="2" t="str">
        <f>PROPER(TRIM(Raw_Data!D280))</f>
        <v>West</v>
      </c>
      <c r="F280" s="2" t="str">
        <f>PROPER(TRIM(Raw_Data!E280))</f>
        <v>Clothing</v>
      </c>
      <c r="G280" s="2" t="str">
        <f>PROPER(TRIM(Raw_Data!F280))</f>
        <v>Jackets</v>
      </c>
      <c r="H280" s="2" t="str">
        <f>Raw_Data!G280</f>
        <v>RainShield Pro</v>
      </c>
      <c r="I280" s="2">
        <f>Raw_Data!H280</f>
        <v>2</v>
      </c>
      <c r="J280" s="4">
        <f>Raw_Data!I280</f>
        <v>2210.7600000000002</v>
      </c>
      <c r="K280" s="4">
        <f>Raw_Data!J280</f>
        <v>1105.3800000000001</v>
      </c>
      <c r="L280" s="5">
        <f>IF(Raw_Data!K280="",0,Raw_Data!K280)</f>
        <v>0</v>
      </c>
      <c r="M280" s="4">
        <f t="shared" si="17"/>
        <v>4421.5200000000004</v>
      </c>
      <c r="N280" s="4">
        <f t="shared" si="18"/>
        <v>2210.7600000000002</v>
      </c>
      <c r="O280" s="6">
        <f t="shared" si="19"/>
        <v>0.5</v>
      </c>
    </row>
    <row r="281" spans="1:15" ht="15" customHeight="1" x14ac:dyDescent="0.3">
      <c r="A281" s="2">
        <f>Raw_Data!A281</f>
        <v>100280</v>
      </c>
      <c r="B281" s="3">
        <f>DATEVALUE(Raw_Data!B281)</f>
        <v>45536</v>
      </c>
      <c r="C281" s="2" t="str">
        <f t="shared" si="16"/>
        <v>Sep-2024</v>
      </c>
      <c r="D281" s="2" t="str">
        <f>PROPER(TRIM(Raw_Data!C281))</f>
        <v>Ishaan Mehta</v>
      </c>
      <c r="E281" s="2" t="str">
        <f>PROPER(TRIM(Raw_Data!D281))</f>
        <v>West</v>
      </c>
      <c r="F281" s="2" t="str">
        <f>PROPER(TRIM(Raw_Data!E281))</f>
        <v>Office Supplies</v>
      </c>
      <c r="G281" s="2" t="str">
        <f>PROPER(TRIM(Raw_Data!F281))</f>
        <v>Binders</v>
      </c>
      <c r="H281" s="2" t="str">
        <f>Raw_Data!G281</f>
        <v>RingFile A4</v>
      </c>
      <c r="I281" s="2">
        <f>Raw_Data!H281</f>
        <v>6</v>
      </c>
      <c r="J281" s="4">
        <f>Raw_Data!I281</f>
        <v>171.45</v>
      </c>
      <c r="K281" s="4">
        <f>Raw_Data!J281</f>
        <v>82.3</v>
      </c>
      <c r="L281" s="5">
        <f>IF(Raw_Data!K281="",0,Raw_Data!K281)</f>
        <v>0</v>
      </c>
      <c r="M281" s="4">
        <f t="shared" si="17"/>
        <v>1028.7</v>
      </c>
      <c r="N281" s="4">
        <f t="shared" si="18"/>
        <v>534.9</v>
      </c>
      <c r="O281" s="6">
        <f t="shared" si="19"/>
        <v>0.51997666958296873</v>
      </c>
    </row>
    <row r="282" spans="1:15" ht="15" customHeight="1" x14ac:dyDescent="0.3">
      <c r="A282" s="2">
        <f>Raw_Data!A282</f>
        <v>100281</v>
      </c>
      <c r="B282" s="3">
        <f>DATEVALUE(Raw_Data!B282)</f>
        <v>45302</v>
      </c>
      <c r="C282" s="2" t="str">
        <f t="shared" si="16"/>
        <v>Jan-2024</v>
      </c>
      <c r="D282" s="2" t="str">
        <f>PROPER(TRIM(Raw_Data!C282))</f>
        <v>Simran Patel</v>
      </c>
      <c r="E282" s="2" t="str">
        <f>PROPER(TRIM(Raw_Data!D282))</f>
        <v>East</v>
      </c>
      <c r="F282" s="2" t="str">
        <f>PROPER(TRIM(Raw_Data!E282))</f>
        <v>Clothing</v>
      </c>
      <c r="G282" s="2" t="str">
        <f>PROPER(TRIM(Raw_Data!F282))</f>
        <v>Shoes</v>
      </c>
      <c r="H282" s="2" t="str">
        <f>Raw_Data!G282</f>
        <v>RunFast Sport</v>
      </c>
      <c r="I282" s="2">
        <f>Raw_Data!H282</f>
        <v>6</v>
      </c>
      <c r="J282" s="4">
        <f>Raw_Data!I282</f>
        <v>2626.73</v>
      </c>
      <c r="K282" s="4">
        <f>Raw_Data!J282</f>
        <v>1260.83</v>
      </c>
      <c r="L282" s="5">
        <f>IF(Raw_Data!K282="",0,Raw_Data!K282)</f>
        <v>0.2</v>
      </c>
      <c r="M282" s="4">
        <f t="shared" si="17"/>
        <v>12608.3</v>
      </c>
      <c r="N282" s="4">
        <f t="shared" si="18"/>
        <v>5043.32</v>
      </c>
      <c r="O282" s="6">
        <f t="shared" si="19"/>
        <v>0.4</v>
      </c>
    </row>
    <row r="283" spans="1:15" ht="15" customHeight="1" x14ac:dyDescent="0.3">
      <c r="A283" s="2">
        <f>Raw_Data!A283</f>
        <v>100282</v>
      </c>
      <c r="B283" s="3">
        <f>DATEVALUE(Raw_Data!B283)</f>
        <v>45406</v>
      </c>
      <c r="C283" s="2" t="str">
        <f t="shared" si="16"/>
        <v>Apr-2024</v>
      </c>
      <c r="D283" s="2" t="str">
        <f>PROPER(TRIM(Raw_Data!C283))</f>
        <v>Sai Bose</v>
      </c>
      <c r="E283" s="2" t="str">
        <f>PROPER(TRIM(Raw_Data!D283))</f>
        <v>West</v>
      </c>
      <c r="F283" s="2" t="str">
        <f>PROPER(TRIM(Raw_Data!E283))</f>
        <v>Electronics</v>
      </c>
      <c r="G283" s="2" t="str">
        <f>PROPER(TRIM(Raw_Data!F283))</f>
        <v>Laptops</v>
      </c>
      <c r="H283" s="2" t="str">
        <f>Raw_Data!G283</f>
        <v>EcoBook Air</v>
      </c>
      <c r="I283" s="2">
        <f>Raw_Data!H283</f>
        <v>4</v>
      </c>
      <c r="J283" s="4">
        <f>Raw_Data!I283</f>
        <v>38000.9</v>
      </c>
      <c r="K283" s="4">
        <f>Raw_Data!J283</f>
        <v>25840.61</v>
      </c>
      <c r="L283" s="5">
        <f>IF(Raw_Data!K283="",0,Raw_Data!K283)</f>
        <v>0.1</v>
      </c>
      <c r="M283" s="4">
        <f t="shared" si="17"/>
        <v>136803.24</v>
      </c>
      <c r="N283" s="4">
        <f t="shared" si="18"/>
        <v>33440.800000000003</v>
      </c>
      <c r="O283" s="6">
        <f t="shared" si="19"/>
        <v>0.24444450292259165</v>
      </c>
    </row>
    <row r="284" spans="1:15" ht="15" customHeight="1" x14ac:dyDescent="0.3">
      <c r="A284" s="2">
        <f>Raw_Data!A284</f>
        <v>100283</v>
      </c>
      <c r="B284" s="3" t="e">
        <f>DATEVALUE(Raw_Data!B284)</f>
        <v>#VALUE!</v>
      </c>
      <c r="C284" s="2" t="e">
        <f t="shared" si="16"/>
        <v>#VALUE!</v>
      </c>
      <c r="D284" s="2" t="str">
        <f>PROPER(TRIM(Raw_Data!C284))</f>
        <v>Sai Chopra</v>
      </c>
      <c r="E284" s="2" t="str">
        <f>PROPER(TRIM(Raw_Data!D284))</f>
        <v>East</v>
      </c>
      <c r="F284" s="2" t="str">
        <f>PROPER(TRIM(Raw_Data!E284))</f>
        <v>Furniture</v>
      </c>
      <c r="G284" s="2" t="str">
        <f>PROPER(TRIM(Raw_Data!F284))</f>
        <v>Chairs</v>
      </c>
      <c r="H284" s="2" t="str">
        <f>Raw_Data!G284</f>
        <v>MeshFlex Pro</v>
      </c>
      <c r="I284" s="2">
        <f>Raw_Data!H284</f>
        <v>9</v>
      </c>
      <c r="J284" s="4">
        <f>Raw_Data!I284</f>
        <v>7225.81</v>
      </c>
      <c r="K284" s="4">
        <f>Raw_Data!J284</f>
        <v>4480.01</v>
      </c>
      <c r="L284" s="5">
        <f>IF(Raw_Data!K284="",0,Raw_Data!K284)</f>
        <v>0.05</v>
      </c>
      <c r="M284" s="4">
        <f t="shared" si="17"/>
        <v>61780.68</v>
      </c>
      <c r="N284" s="4">
        <f t="shared" si="18"/>
        <v>21460.59</v>
      </c>
      <c r="O284" s="6">
        <f t="shared" si="19"/>
        <v>0.34736733231165473</v>
      </c>
    </row>
    <row r="285" spans="1:15" ht="15" customHeight="1" x14ac:dyDescent="0.3">
      <c r="A285" s="2">
        <f>Raw_Data!A285</f>
        <v>100284</v>
      </c>
      <c r="B285" s="3" t="e">
        <f>DATEVALUE(Raw_Data!B285)</f>
        <v>#VALUE!</v>
      </c>
      <c r="C285" s="2" t="e">
        <f t="shared" si="16"/>
        <v>#VALUE!</v>
      </c>
      <c r="D285" s="2" t="str">
        <f>PROPER(TRIM(Raw_Data!C285))</f>
        <v>Karan Bhatt</v>
      </c>
      <c r="E285" s="2" t="str">
        <f>PROPER(TRIM(Raw_Data!D285))</f>
        <v>South</v>
      </c>
      <c r="F285" s="2" t="str">
        <f>PROPER(TRIM(Raw_Data!E285))</f>
        <v>Office Supplies</v>
      </c>
      <c r="G285" s="2" t="str">
        <f>PROPER(TRIM(Raw_Data!F285))</f>
        <v>Paper</v>
      </c>
      <c r="H285" s="2" t="str">
        <f>Raw_Data!G285</f>
        <v>CopyMax A4 Ream</v>
      </c>
      <c r="I285" s="2">
        <f>Raw_Data!H285</f>
        <v>4</v>
      </c>
      <c r="J285" s="4">
        <f>Raw_Data!I285</f>
        <v>237.79</v>
      </c>
      <c r="K285" s="4">
        <f>Raw_Data!J285</f>
        <v>118.9</v>
      </c>
      <c r="L285" s="5">
        <f>IF(Raw_Data!K285="",0,Raw_Data!K285)</f>
        <v>0</v>
      </c>
      <c r="M285" s="4">
        <f t="shared" si="17"/>
        <v>951.16</v>
      </c>
      <c r="N285" s="4">
        <f t="shared" si="18"/>
        <v>475.56</v>
      </c>
      <c r="O285" s="6">
        <f t="shared" si="19"/>
        <v>0.49997897304344169</v>
      </c>
    </row>
    <row r="286" spans="1:15" ht="15" customHeight="1" x14ac:dyDescent="0.3">
      <c r="A286" s="2">
        <f>Raw_Data!A286</f>
        <v>100285</v>
      </c>
      <c r="B286" s="3">
        <f>DATEVALUE(Raw_Data!B286)</f>
        <v>45414</v>
      </c>
      <c r="C286" s="2" t="str">
        <f t="shared" si="16"/>
        <v>May-2024</v>
      </c>
      <c r="D286" s="2" t="str">
        <f>PROPER(TRIM(Raw_Data!C286))</f>
        <v>Arjun Kapoor</v>
      </c>
      <c r="E286" s="2" t="str">
        <f>PROPER(TRIM(Raw_Data!D286))</f>
        <v>North</v>
      </c>
      <c r="F286" s="2" t="str">
        <f>PROPER(TRIM(Raw_Data!E286))</f>
        <v>Electronics</v>
      </c>
      <c r="G286" s="2" t="str">
        <f>PROPER(TRIM(Raw_Data!F286))</f>
        <v>Monitors</v>
      </c>
      <c r="H286" s="2" t="str">
        <f>Raw_Data!G286</f>
        <v>CurveTech 32</v>
      </c>
      <c r="I286" s="2">
        <f>Raw_Data!H286</f>
        <v>3</v>
      </c>
      <c r="J286" s="4">
        <f>Raw_Data!I286</f>
        <v>21864.63</v>
      </c>
      <c r="K286" s="4">
        <f>Raw_Data!J286</f>
        <v>12681.48</v>
      </c>
      <c r="L286" s="5">
        <f>IF(Raw_Data!K286="",0,Raw_Data!K286)</f>
        <v>0.2</v>
      </c>
      <c r="M286" s="4">
        <f t="shared" si="17"/>
        <v>52475.11</v>
      </c>
      <c r="N286" s="4">
        <f t="shared" si="18"/>
        <v>14430.67</v>
      </c>
      <c r="O286" s="6">
        <f t="shared" si="19"/>
        <v>0.27500028108564234</v>
      </c>
    </row>
    <row r="287" spans="1:15" ht="15" customHeight="1" x14ac:dyDescent="0.3">
      <c r="A287" s="2">
        <f>Raw_Data!A287</f>
        <v>100286</v>
      </c>
      <c r="B287" s="3">
        <f>DATEVALUE(Raw_Data!B287)</f>
        <v>45574</v>
      </c>
      <c r="C287" s="2" t="str">
        <f t="shared" si="16"/>
        <v>Oct-2024</v>
      </c>
      <c r="D287" s="2" t="str">
        <f>PROPER(TRIM(Raw_Data!C287))</f>
        <v>Sai Agarwal</v>
      </c>
      <c r="E287" s="2" t="str">
        <f>PROPER(TRIM(Raw_Data!D287))</f>
        <v>West</v>
      </c>
      <c r="F287" s="2" t="str">
        <f>PROPER(TRIM(Raw_Data!E287))</f>
        <v>Office Supplies</v>
      </c>
      <c r="G287" s="2" t="str">
        <f>PROPER(TRIM(Raw_Data!F287))</f>
        <v>Pens</v>
      </c>
      <c r="H287" s="2" t="str">
        <f>Raw_Data!G287</f>
        <v>InkFlow Gel Pack5</v>
      </c>
      <c r="I287" s="2">
        <f>Raw_Data!H287</f>
        <v>1</v>
      </c>
      <c r="J287" s="4">
        <f>Raw_Data!I287</f>
        <v>121.57</v>
      </c>
      <c r="K287" s="4">
        <f>Raw_Data!J287</f>
        <v>54.71</v>
      </c>
      <c r="L287" s="5">
        <f>IF(Raw_Data!K287="",0,Raw_Data!K287)</f>
        <v>0.1</v>
      </c>
      <c r="M287" s="4">
        <f t="shared" si="17"/>
        <v>109.41</v>
      </c>
      <c r="N287" s="4">
        <f t="shared" si="18"/>
        <v>54.7</v>
      </c>
      <c r="O287" s="6">
        <f t="shared" si="19"/>
        <v>0.49995430033817756</v>
      </c>
    </row>
    <row r="288" spans="1:15" ht="15" customHeight="1" x14ac:dyDescent="0.3">
      <c r="A288" s="2">
        <f>Raw_Data!A288</f>
        <v>100287</v>
      </c>
      <c r="B288" s="3">
        <f>DATEVALUE(Raw_Data!B288)</f>
        <v>45458</v>
      </c>
      <c r="C288" s="2" t="str">
        <f t="shared" si="16"/>
        <v>Jun-2024</v>
      </c>
      <c r="D288" s="2" t="str">
        <f>PROPER(TRIM(Raw_Data!C288))</f>
        <v>Aman Pillai</v>
      </c>
      <c r="E288" s="2" t="str">
        <f>PROPER(TRIM(Raw_Data!D288))</f>
        <v>South</v>
      </c>
      <c r="F288" s="2" t="str">
        <f>PROPER(TRIM(Raw_Data!E288))</f>
        <v>Electronics</v>
      </c>
      <c r="G288" s="2" t="str">
        <f>PROPER(TRIM(Raw_Data!F288))</f>
        <v>Headphones</v>
      </c>
      <c r="H288" s="2" t="str">
        <f>Raw_Data!G288</f>
        <v>BassBeat Mini</v>
      </c>
      <c r="I288" s="2">
        <f>Raw_Data!H288</f>
        <v>5</v>
      </c>
      <c r="J288" s="4">
        <f>Raw_Data!I288</f>
        <v>1267.83</v>
      </c>
      <c r="K288" s="4">
        <f>Raw_Data!J288</f>
        <v>760.7</v>
      </c>
      <c r="L288" s="5">
        <f>IF(Raw_Data!K288="",0,Raw_Data!K288)</f>
        <v>0.1</v>
      </c>
      <c r="M288" s="4">
        <f t="shared" si="17"/>
        <v>5705.24</v>
      </c>
      <c r="N288" s="4">
        <f t="shared" si="18"/>
        <v>1901.74</v>
      </c>
      <c r="O288" s="6">
        <f t="shared" si="19"/>
        <v>0.3333321648169052</v>
      </c>
    </row>
    <row r="289" spans="1:15" ht="15" customHeight="1" x14ac:dyDescent="0.3">
      <c r="A289" s="2">
        <f>Raw_Data!A289</f>
        <v>100288</v>
      </c>
      <c r="B289" s="3" t="e">
        <f>DATEVALUE(Raw_Data!B289)</f>
        <v>#VALUE!</v>
      </c>
      <c r="C289" s="2" t="e">
        <f t="shared" si="16"/>
        <v>#VALUE!</v>
      </c>
      <c r="D289" s="2" t="str">
        <f>PROPER(TRIM(Raw_Data!C289))</f>
        <v>Ishaan Singh</v>
      </c>
      <c r="E289" s="2" t="str">
        <f>PROPER(TRIM(Raw_Data!D289))</f>
        <v>North</v>
      </c>
      <c r="F289" s="2" t="str">
        <f>PROPER(TRIM(Raw_Data!E289))</f>
        <v>Clothing</v>
      </c>
      <c r="G289" s="2" t="str">
        <f>PROPER(TRIM(Raw_Data!F289))</f>
        <v>Jackets</v>
      </c>
      <c r="H289" s="2" t="str">
        <f>Raw_Data!G289</f>
        <v>RainShield Pro</v>
      </c>
      <c r="I289" s="2">
        <f>Raw_Data!H289</f>
        <v>9</v>
      </c>
      <c r="J289" s="4">
        <f>Raw_Data!I289</f>
        <v>2134.08</v>
      </c>
      <c r="K289" s="4">
        <f>Raw_Data!J289</f>
        <v>1067.04</v>
      </c>
      <c r="L289" s="5">
        <f>IF(Raw_Data!K289="",0,Raw_Data!K289)</f>
        <v>0.05</v>
      </c>
      <c r="M289" s="4">
        <f t="shared" si="17"/>
        <v>18246.38</v>
      </c>
      <c r="N289" s="4">
        <f t="shared" si="18"/>
        <v>8643.02</v>
      </c>
      <c r="O289" s="6">
        <f t="shared" si="19"/>
        <v>0.47368409514654414</v>
      </c>
    </row>
    <row r="290" spans="1:15" ht="15" customHeight="1" x14ac:dyDescent="0.3">
      <c r="A290" s="2">
        <f>Raw_Data!A290</f>
        <v>100289</v>
      </c>
      <c r="B290" s="3" t="e">
        <f>DATEVALUE(Raw_Data!B290)</f>
        <v>#VALUE!</v>
      </c>
      <c r="C290" s="2" t="e">
        <f t="shared" si="16"/>
        <v>#VALUE!</v>
      </c>
      <c r="D290" s="2" t="str">
        <f>PROPER(TRIM(Raw_Data!C290))</f>
        <v>Vivaan Chopra</v>
      </c>
      <c r="E290" s="2" t="str">
        <f>PROPER(TRIM(Raw_Data!D290))</f>
        <v>West</v>
      </c>
      <c r="F290" s="2" t="str">
        <f>PROPER(TRIM(Raw_Data!E290))</f>
        <v>Furniture</v>
      </c>
      <c r="G290" s="2" t="str">
        <f>PROPER(TRIM(Raw_Data!F290))</f>
        <v>Chairs</v>
      </c>
      <c r="H290" s="2" t="str">
        <f>Raw_Data!G290</f>
        <v>ErgoComfort</v>
      </c>
      <c r="I290" s="2">
        <f>Raw_Data!H290</f>
        <v>10</v>
      </c>
      <c r="J290" s="4">
        <f>Raw_Data!I290</f>
        <v>8784.14</v>
      </c>
      <c r="K290" s="4">
        <f>Raw_Data!J290</f>
        <v>5270.48</v>
      </c>
      <c r="L290" s="5">
        <f>IF(Raw_Data!K290="",0,Raw_Data!K290)</f>
        <v>0.1</v>
      </c>
      <c r="M290" s="4">
        <f t="shared" si="17"/>
        <v>79057.259999999995</v>
      </c>
      <c r="N290" s="4">
        <f t="shared" si="18"/>
        <v>26352.46</v>
      </c>
      <c r="O290" s="6">
        <f t="shared" si="19"/>
        <v>0.33333383929572058</v>
      </c>
    </row>
    <row r="291" spans="1:15" ht="15" customHeight="1" x14ac:dyDescent="0.3">
      <c r="A291" s="2">
        <f>Raw_Data!A291</f>
        <v>100290</v>
      </c>
      <c r="B291" s="3">
        <f>DATEVALUE(Raw_Data!B291)</f>
        <v>45469</v>
      </c>
      <c r="C291" s="2" t="str">
        <f t="shared" si="16"/>
        <v>Jun-2024</v>
      </c>
      <c r="D291" s="2" t="str">
        <f>PROPER(TRIM(Raw_Data!C291))</f>
        <v>Simran Bhatt</v>
      </c>
      <c r="E291" s="2" t="str">
        <f>PROPER(TRIM(Raw_Data!D291))</f>
        <v>North</v>
      </c>
      <c r="F291" s="2" t="str">
        <f>PROPER(TRIM(Raw_Data!E291))</f>
        <v>Clothing</v>
      </c>
      <c r="G291" s="2" t="str">
        <f>PROPER(TRIM(Raw_Data!F291))</f>
        <v>T-Shirts</v>
      </c>
      <c r="H291" s="2" t="str">
        <f>Raw_Data!G291</f>
        <v>ActiveDry Sport</v>
      </c>
      <c r="I291" s="2">
        <f>Raw_Data!H291</f>
        <v>9</v>
      </c>
      <c r="J291" s="4">
        <f>Raw_Data!I291</f>
        <v>680.32</v>
      </c>
      <c r="K291" s="4">
        <f>Raw_Data!J291</f>
        <v>306.14999999999998</v>
      </c>
      <c r="L291" s="5">
        <f>IF(Raw_Data!K291="",0,Raw_Data!K291)</f>
        <v>0.1</v>
      </c>
      <c r="M291" s="4">
        <f t="shared" si="17"/>
        <v>5510.59</v>
      </c>
      <c r="N291" s="4">
        <f t="shared" si="18"/>
        <v>2755.24</v>
      </c>
      <c r="O291" s="6">
        <f t="shared" si="19"/>
        <v>0.49999001921754288</v>
      </c>
    </row>
    <row r="292" spans="1:15" ht="15" customHeight="1" x14ac:dyDescent="0.3">
      <c r="A292" s="2">
        <f>Raw_Data!A292</f>
        <v>100291</v>
      </c>
      <c r="B292" s="3">
        <f>DATEVALUE(Raw_Data!B292)</f>
        <v>45604</v>
      </c>
      <c r="C292" s="2" t="str">
        <f t="shared" si="16"/>
        <v>Nov-2024</v>
      </c>
      <c r="D292" s="2" t="str">
        <f>PROPER(TRIM(Raw_Data!C292))</f>
        <v>Rahul Shah</v>
      </c>
      <c r="E292" s="2" t="str">
        <f>PROPER(TRIM(Raw_Data!D292))</f>
        <v>North</v>
      </c>
      <c r="F292" s="2" t="str">
        <f>PROPER(TRIM(Raw_Data!E292))</f>
        <v>Electronics</v>
      </c>
      <c r="G292" s="2" t="str">
        <f>PROPER(TRIM(Raw_Data!F292))</f>
        <v>Headphones</v>
      </c>
      <c r="H292" s="2" t="str">
        <f>Raw_Data!G292</f>
        <v>StudioFit</v>
      </c>
      <c r="I292" s="2">
        <f>Raw_Data!H292</f>
        <v>7</v>
      </c>
      <c r="J292" s="4">
        <f>Raw_Data!I292</f>
        <v>3118.82</v>
      </c>
      <c r="K292" s="4">
        <f>Raw_Data!J292</f>
        <v>1559.41</v>
      </c>
      <c r="L292" s="5">
        <f>IF(Raw_Data!K292="",0,Raw_Data!K292)</f>
        <v>0.1</v>
      </c>
      <c r="M292" s="4">
        <f t="shared" si="17"/>
        <v>19648.57</v>
      </c>
      <c r="N292" s="4">
        <f t="shared" si="18"/>
        <v>8732.7000000000007</v>
      </c>
      <c r="O292" s="6">
        <f t="shared" si="19"/>
        <v>0.44444455754286449</v>
      </c>
    </row>
    <row r="293" spans="1:15" ht="15" customHeight="1" x14ac:dyDescent="0.3">
      <c r="A293" s="2">
        <f>Raw_Data!A293</f>
        <v>100292</v>
      </c>
      <c r="B293" s="3" t="e">
        <f>DATEVALUE(Raw_Data!B293)</f>
        <v>#VALUE!</v>
      </c>
      <c r="C293" s="2" t="e">
        <f t="shared" si="16"/>
        <v>#VALUE!</v>
      </c>
      <c r="D293" s="2" t="str">
        <f>PROPER(TRIM(Raw_Data!C293))</f>
        <v>Meera Chopra</v>
      </c>
      <c r="E293" s="2" t="str">
        <f>PROPER(TRIM(Raw_Data!D293))</f>
        <v>North</v>
      </c>
      <c r="F293" s="2" t="str">
        <f>PROPER(TRIM(Raw_Data!E293))</f>
        <v>Furniture</v>
      </c>
      <c r="G293" s="2" t="str">
        <f>PROPER(TRIM(Raw_Data!F293))</f>
        <v>Desks</v>
      </c>
      <c r="H293" s="2" t="str">
        <f>Raw_Data!G293</f>
        <v>CompactWork</v>
      </c>
      <c r="I293" s="2">
        <f>Raw_Data!H293</f>
        <v>7</v>
      </c>
      <c r="J293" s="4">
        <f>Raw_Data!I293</f>
        <v>4164</v>
      </c>
      <c r="K293" s="4">
        <f>Raw_Data!J293</f>
        <v>2706.6</v>
      </c>
      <c r="L293" s="5">
        <f>IF(Raw_Data!K293="",0,Raw_Data!K293)</f>
        <v>0.15</v>
      </c>
      <c r="M293" s="4">
        <f t="shared" si="17"/>
        <v>24775.8</v>
      </c>
      <c r="N293" s="4">
        <f t="shared" si="18"/>
        <v>5829.6</v>
      </c>
      <c r="O293" s="6">
        <f t="shared" si="19"/>
        <v>0.23529411764705885</v>
      </c>
    </row>
    <row r="294" spans="1:15" ht="15" customHeight="1" x14ac:dyDescent="0.3">
      <c r="A294" s="2">
        <f>Raw_Data!A294</f>
        <v>100293</v>
      </c>
      <c r="B294" s="3" t="e">
        <f>DATEVALUE(Raw_Data!B294)</f>
        <v>#VALUE!</v>
      </c>
      <c r="C294" s="2" t="e">
        <f t="shared" si="16"/>
        <v>#VALUE!</v>
      </c>
      <c r="D294" s="2" t="str">
        <f>PROPER(TRIM(Raw_Data!C294))</f>
        <v>Myra Sharma</v>
      </c>
      <c r="E294" s="2" t="str">
        <f>PROPER(TRIM(Raw_Data!D294))</f>
        <v>East</v>
      </c>
      <c r="F294" s="2" t="str">
        <f>PROPER(TRIM(Raw_Data!E294))</f>
        <v>Furniture</v>
      </c>
      <c r="G294" s="2" t="str">
        <f>PROPER(TRIM(Raw_Data!F294))</f>
        <v>Desks</v>
      </c>
      <c r="H294" s="2" t="str">
        <f>Raw_Data!G294</f>
        <v>CornerFit Desk</v>
      </c>
      <c r="I294" s="2">
        <f>Raw_Data!H294</f>
        <v>9</v>
      </c>
      <c r="J294" s="4">
        <f>Raw_Data!I294</f>
        <v>10489.91</v>
      </c>
      <c r="K294" s="4">
        <f>Raw_Data!J294</f>
        <v>6084.15</v>
      </c>
      <c r="L294" s="5">
        <f>IF(Raw_Data!K294="",0,Raw_Data!K294)</f>
        <v>0.05</v>
      </c>
      <c r="M294" s="4">
        <f t="shared" si="17"/>
        <v>89688.73</v>
      </c>
      <c r="N294" s="4">
        <f t="shared" si="18"/>
        <v>34931.379999999997</v>
      </c>
      <c r="O294" s="6">
        <f t="shared" si="19"/>
        <v>0.38947346004341904</v>
      </c>
    </row>
    <row r="295" spans="1:15" ht="15" customHeight="1" x14ac:dyDescent="0.3">
      <c r="A295" s="2">
        <f>Raw_Data!A295</f>
        <v>100294</v>
      </c>
      <c r="B295" s="3">
        <f>DATEVALUE(Raw_Data!B295)</f>
        <v>45442</v>
      </c>
      <c r="C295" s="2" t="str">
        <f t="shared" si="16"/>
        <v>May-2024</v>
      </c>
      <c r="D295" s="2" t="str">
        <f>PROPER(TRIM(Raw_Data!C295))</f>
        <v>Ishaan Verma</v>
      </c>
      <c r="E295" s="2" t="str">
        <f>PROPER(TRIM(Raw_Data!D295))</f>
        <v>East</v>
      </c>
      <c r="F295" s="2" t="str">
        <f>PROPER(TRIM(Raw_Data!E295))</f>
        <v>Furniture</v>
      </c>
      <c r="G295" s="2" t="str">
        <f>PROPER(TRIM(Raw_Data!F295))</f>
        <v>Desks</v>
      </c>
      <c r="H295" s="2" t="str">
        <f>Raw_Data!G295</f>
        <v>CornerFit Desk</v>
      </c>
      <c r="I295" s="2">
        <f>Raw_Data!H295</f>
        <v>1</v>
      </c>
      <c r="J295" s="4">
        <f>Raw_Data!I295</f>
        <v>10292.92</v>
      </c>
      <c r="K295" s="4">
        <f>Raw_Data!J295</f>
        <v>5969.89</v>
      </c>
      <c r="L295" s="5">
        <f>IF(Raw_Data!K295="",0,Raw_Data!K295)</f>
        <v>0.15</v>
      </c>
      <c r="M295" s="4">
        <f t="shared" si="17"/>
        <v>8748.98</v>
      </c>
      <c r="N295" s="4">
        <f t="shared" si="18"/>
        <v>2779.09</v>
      </c>
      <c r="O295" s="6">
        <f t="shared" si="19"/>
        <v>0.31764731431549736</v>
      </c>
    </row>
    <row r="296" spans="1:15" ht="15" customHeight="1" x14ac:dyDescent="0.3">
      <c r="A296" s="2">
        <f>Raw_Data!A296</f>
        <v>100295</v>
      </c>
      <c r="B296" s="3" t="e">
        <f>DATEVALUE(Raw_Data!B296)</f>
        <v>#VALUE!</v>
      </c>
      <c r="C296" s="2" t="e">
        <f t="shared" si="16"/>
        <v>#VALUE!</v>
      </c>
      <c r="D296" s="2" t="str">
        <f>PROPER(TRIM(Raw_Data!C296))</f>
        <v>Rohan Das</v>
      </c>
      <c r="E296" s="2" t="str">
        <f>PROPER(TRIM(Raw_Data!D296))</f>
        <v>East</v>
      </c>
      <c r="F296" s="2" t="str">
        <f>PROPER(TRIM(Raw_Data!E296))</f>
        <v>Electronics</v>
      </c>
      <c r="G296" s="2" t="str">
        <f>PROPER(TRIM(Raw_Data!F296))</f>
        <v>Keyboards</v>
      </c>
      <c r="H296" s="2" t="str">
        <f>Raw_Data!G296</f>
        <v>GamerEdge RGB</v>
      </c>
      <c r="I296" s="2">
        <f>Raw_Data!H296</f>
        <v>4</v>
      </c>
      <c r="J296" s="4">
        <f>Raw_Data!I296</f>
        <v>3240.91</v>
      </c>
      <c r="K296" s="4">
        <f>Raw_Data!J296</f>
        <v>1620.45</v>
      </c>
      <c r="L296" s="5">
        <f>IF(Raw_Data!K296="",0,Raw_Data!K296)</f>
        <v>0.15</v>
      </c>
      <c r="M296" s="4">
        <f t="shared" si="17"/>
        <v>11019.09</v>
      </c>
      <c r="N296" s="4">
        <f t="shared" si="18"/>
        <v>4537.29</v>
      </c>
      <c r="O296" s="6">
        <f t="shared" si="19"/>
        <v>0.41176630738109954</v>
      </c>
    </row>
    <row r="297" spans="1:15" ht="15" customHeight="1" x14ac:dyDescent="0.3">
      <c r="A297" s="2">
        <f>Raw_Data!A297</f>
        <v>100296</v>
      </c>
      <c r="B297" s="3">
        <f>DATEVALUE(Raw_Data!B297)</f>
        <v>45503</v>
      </c>
      <c r="C297" s="2" t="str">
        <f t="shared" si="16"/>
        <v>Jul-2024</v>
      </c>
      <c r="D297" s="2" t="str">
        <f>PROPER(TRIM(Raw_Data!C297))</f>
        <v>Yash Nair</v>
      </c>
      <c r="E297" s="2" t="str">
        <f>PROPER(TRIM(Raw_Data!D297))</f>
        <v>West</v>
      </c>
      <c r="F297" s="2" t="str">
        <f>PROPER(TRIM(Raw_Data!E297))</f>
        <v>Electronics</v>
      </c>
      <c r="G297" s="2" t="str">
        <f>PROPER(TRIM(Raw_Data!F297))</f>
        <v>Laptops</v>
      </c>
      <c r="H297" s="2" t="str">
        <f>Raw_Data!G297</f>
        <v>UltraSlim X1</v>
      </c>
      <c r="I297" s="2">
        <f>Raw_Data!H297</f>
        <v>6</v>
      </c>
      <c r="J297" s="4">
        <f>Raw_Data!I297</f>
        <v>65991.13</v>
      </c>
      <c r="K297" s="4">
        <f>Raw_Data!J297</f>
        <v>39594.68</v>
      </c>
      <c r="L297" s="5">
        <f>IF(Raw_Data!K297="",0,Raw_Data!K297)</f>
        <v>0.1</v>
      </c>
      <c r="M297" s="4">
        <f t="shared" si="17"/>
        <v>356352.1</v>
      </c>
      <c r="N297" s="4">
        <f t="shared" si="18"/>
        <v>118784.02</v>
      </c>
      <c r="O297" s="6">
        <f t="shared" si="19"/>
        <v>0.3333332959171561</v>
      </c>
    </row>
    <row r="298" spans="1:15" ht="15" customHeight="1" x14ac:dyDescent="0.3">
      <c r="A298" s="2">
        <f>Raw_Data!A298</f>
        <v>100297</v>
      </c>
      <c r="B298" s="3" t="e">
        <f>DATEVALUE(Raw_Data!B298)</f>
        <v>#VALUE!</v>
      </c>
      <c r="C298" s="2" t="e">
        <f t="shared" si="16"/>
        <v>#VALUE!</v>
      </c>
      <c r="D298" s="2" t="str">
        <f>PROPER(TRIM(Raw_Data!C298))</f>
        <v>Kiara Bhatt</v>
      </c>
      <c r="E298" s="2" t="str">
        <f>PROPER(TRIM(Raw_Data!D298))</f>
        <v>North</v>
      </c>
      <c r="F298" s="2" t="str">
        <f>PROPER(TRIM(Raw_Data!E298))</f>
        <v>Office Supplies</v>
      </c>
      <c r="G298" s="2" t="str">
        <f>PROPER(TRIM(Raw_Data!F298))</f>
        <v>Pens</v>
      </c>
      <c r="H298" s="2" t="str">
        <f>Raw_Data!G298</f>
        <v>InkFlow Gel Pack5</v>
      </c>
      <c r="I298" s="2">
        <f>Raw_Data!H298</f>
        <v>9</v>
      </c>
      <c r="J298" s="4">
        <f>Raw_Data!I298</f>
        <v>124.89</v>
      </c>
      <c r="K298" s="4">
        <f>Raw_Data!J298</f>
        <v>56.2</v>
      </c>
      <c r="L298" s="5">
        <f>IF(Raw_Data!K298="",0,Raw_Data!K298)</f>
        <v>0</v>
      </c>
      <c r="M298" s="4">
        <f t="shared" si="17"/>
        <v>1124.01</v>
      </c>
      <c r="N298" s="4">
        <f t="shared" si="18"/>
        <v>618.21</v>
      </c>
      <c r="O298" s="6">
        <f t="shared" si="19"/>
        <v>0.55000400352310042</v>
      </c>
    </row>
    <row r="299" spans="1:15" ht="15" customHeight="1" x14ac:dyDescent="0.3">
      <c r="A299" s="2">
        <f>Raw_Data!A299</f>
        <v>100298</v>
      </c>
      <c r="B299" s="3">
        <f>DATEVALUE(Raw_Data!B299)</f>
        <v>45631</v>
      </c>
      <c r="C299" s="2" t="str">
        <f t="shared" si="16"/>
        <v>Dec-2024</v>
      </c>
      <c r="D299" s="2" t="str">
        <f>PROPER(TRIM(Raw_Data!C299))</f>
        <v>Neha Shah</v>
      </c>
      <c r="E299" s="2" t="str">
        <f>PROPER(TRIM(Raw_Data!D299))</f>
        <v>West</v>
      </c>
      <c r="F299" s="2" t="str">
        <f>PROPER(TRIM(Raw_Data!E299))</f>
        <v>Electronics</v>
      </c>
      <c r="G299" s="2" t="str">
        <f>PROPER(TRIM(Raw_Data!F299))</f>
        <v>Keyboards</v>
      </c>
      <c r="H299" s="2" t="str">
        <f>Raw_Data!G299</f>
        <v>SilentBoard</v>
      </c>
      <c r="I299" s="2">
        <f>Raw_Data!H299</f>
        <v>2</v>
      </c>
      <c r="J299" s="4">
        <f>Raw_Data!I299</f>
        <v>951.72</v>
      </c>
      <c r="K299" s="4">
        <f>Raw_Data!J299</f>
        <v>571.03</v>
      </c>
      <c r="L299" s="5">
        <f>IF(Raw_Data!K299="",0,Raw_Data!K299)</f>
        <v>0.1</v>
      </c>
      <c r="M299" s="4">
        <f t="shared" si="17"/>
        <v>1713.1</v>
      </c>
      <c r="N299" s="4">
        <f t="shared" si="18"/>
        <v>571.04</v>
      </c>
      <c r="O299" s="6">
        <f t="shared" si="19"/>
        <v>0.33333722491389878</v>
      </c>
    </row>
    <row r="300" spans="1:15" ht="15" customHeight="1" x14ac:dyDescent="0.3">
      <c r="A300" s="2">
        <f>Raw_Data!A300</f>
        <v>100299</v>
      </c>
      <c r="B300" s="3">
        <f>DATEVALUE(Raw_Data!B300)</f>
        <v>45384</v>
      </c>
      <c r="C300" s="2" t="str">
        <f t="shared" si="16"/>
        <v>Apr-2024</v>
      </c>
      <c r="D300" s="2" t="str">
        <f>PROPER(TRIM(Raw_Data!C300))</f>
        <v>Aadhya Chopra</v>
      </c>
      <c r="E300" s="2" t="str">
        <f>PROPER(TRIM(Raw_Data!D300))</f>
        <v>South</v>
      </c>
      <c r="F300" s="2" t="str">
        <f>PROPER(TRIM(Raw_Data!E300))</f>
        <v>Electronics</v>
      </c>
      <c r="G300" s="2" t="str">
        <f>PROPER(TRIM(Raw_Data!F300))</f>
        <v>Monitors</v>
      </c>
      <c r="H300" s="2" t="str">
        <f>Raw_Data!G300</f>
        <v>WideView 27</v>
      </c>
      <c r="I300" s="2">
        <f>Raw_Data!H300</f>
        <v>6</v>
      </c>
      <c r="J300" s="4">
        <f>Raw_Data!I300</f>
        <v>14546.22</v>
      </c>
      <c r="K300" s="4">
        <f>Raw_Data!J300</f>
        <v>8727.73</v>
      </c>
      <c r="L300" s="5">
        <f>IF(Raw_Data!K300="",0,Raw_Data!K300)</f>
        <v>0.1</v>
      </c>
      <c r="M300" s="4">
        <f t="shared" si="17"/>
        <v>78549.59</v>
      </c>
      <c r="N300" s="4">
        <f t="shared" si="18"/>
        <v>26183.21</v>
      </c>
      <c r="O300" s="6">
        <f t="shared" si="19"/>
        <v>0.33333350307748266</v>
      </c>
    </row>
    <row r="301" spans="1:15" ht="15" customHeight="1" x14ac:dyDescent="0.3">
      <c r="A301" s="2">
        <f>Raw_Data!A301</f>
        <v>100300</v>
      </c>
      <c r="B301" s="3">
        <f>DATEVALUE(Raw_Data!B301)</f>
        <v>45376</v>
      </c>
      <c r="C301" s="2" t="str">
        <f t="shared" si="16"/>
        <v>Mar-2024</v>
      </c>
      <c r="D301" s="2" t="str">
        <f>PROPER(TRIM(Raw_Data!C301))</f>
        <v>Ishaan Verma</v>
      </c>
      <c r="E301" s="2" t="str">
        <f>PROPER(TRIM(Raw_Data!D301))</f>
        <v>West</v>
      </c>
      <c r="F301" s="2" t="str">
        <f>PROPER(TRIM(Raw_Data!E301))</f>
        <v>Furniture</v>
      </c>
      <c r="G301" s="2" t="str">
        <f>PROPER(TRIM(Raw_Data!F301))</f>
        <v>Cabinets</v>
      </c>
      <c r="H301" s="2" t="str">
        <f>Raw_Data!G301</f>
        <v>FileSafe Steel</v>
      </c>
      <c r="I301" s="2">
        <f>Raw_Data!H301</f>
        <v>4</v>
      </c>
      <c r="J301" s="4">
        <f>Raw_Data!I301</f>
        <v>5465.37</v>
      </c>
      <c r="K301" s="4">
        <f>Raw_Data!J301</f>
        <v>3279.22</v>
      </c>
      <c r="L301" s="5">
        <f>IF(Raw_Data!K301="",0,Raw_Data!K301)</f>
        <v>0.05</v>
      </c>
      <c r="M301" s="4">
        <f t="shared" si="17"/>
        <v>20768.41</v>
      </c>
      <c r="N301" s="4">
        <f t="shared" si="18"/>
        <v>7651.53</v>
      </c>
      <c r="O301" s="6">
        <f t="shared" si="19"/>
        <v>0.36842155947422067</v>
      </c>
    </row>
    <row r="302" spans="1:15" ht="15" customHeight="1" x14ac:dyDescent="0.3">
      <c r="A302" s="2">
        <f>Raw_Data!A302</f>
        <v>100301</v>
      </c>
      <c r="B302" s="3">
        <f>DATEVALUE(Raw_Data!B302)</f>
        <v>45542</v>
      </c>
      <c r="C302" s="2" t="str">
        <f t="shared" si="16"/>
        <v>Sep-2024</v>
      </c>
      <c r="D302" s="2" t="str">
        <f>PROPER(TRIM(Raw_Data!C302))</f>
        <v>Rahul Pillai</v>
      </c>
      <c r="E302" s="2" t="str">
        <f>PROPER(TRIM(Raw_Data!D302))</f>
        <v>North</v>
      </c>
      <c r="F302" s="2" t="str">
        <f>PROPER(TRIM(Raw_Data!E302))</f>
        <v>Office Supplies</v>
      </c>
      <c r="G302" s="2" t="str">
        <f>PROPER(TRIM(Raw_Data!F302))</f>
        <v>Binders</v>
      </c>
      <c r="H302" s="2" t="str">
        <f>Raw_Data!G302</f>
        <v>ClampBind Pro</v>
      </c>
      <c r="I302" s="2">
        <f>Raw_Data!H302</f>
        <v>1</v>
      </c>
      <c r="J302" s="4">
        <f>Raw_Data!I302</f>
        <v>208.56</v>
      </c>
      <c r="K302" s="4">
        <f>Raw_Data!J302</f>
        <v>100.11</v>
      </c>
      <c r="L302" s="5">
        <f>IF(Raw_Data!K302="",0,Raw_Data!K302)</f>
        <v>0.15</v>
      </c>
      <c r="M302" s="4">
        <f t="shared" si="17"/>
        <v>177.28</v>
      </c>
      <c r="N302" s="4">
        <f t="shared" si="18"/>
        <v>77.17</v>
      </c>
      <c r="O302" s="6">
        <f t="shared" si="19"/>
        <v>0.43530009025270761</v>
      </c>
    </row>
    <row r="303" spans="1:15" ht="15" customHeight="1" x14ac:dyDescent="0.3">
      <c r="A303" s="2">
        <f>Raw_Data!A303</f>
        <v>100302</v>
      </c>
      <c r="B303" s="3" t="e">
        <f>DATEVALUE(Raw_Data!B303)</f>
        <v>#VALUE!</v>
      </c>
      <c r="C303" s="2" t="e">
        <f t="shared" si="16"/>
        <v>#VALUE!</v>
      </c>
      <c r="D303" s="2" t="str">
        <f>PROPER(TRIM(Raw_Data!C303))</f>
        <v>Vivaan Bose</v>
      </c>
      <c r="E303" s="2" t="str">
        <f>PROPER(TRIM(Raw_Data!D303))</f>
        <v>West</v>
      </c>
      <c r="F303" s="2" t="str">
        <f>PROPER(TRIM(Raw_Data!E303))</f>
        <v>Electronics</v>
      </c>
      <c r="G303" s="2" t="str">
        <f>PROPER(TRIM(Raw_Data!F303))</f>
        <v>Monitors</v>
      </c>
      <c r="H303" s="2" t="str">
        <f>Raw_Data!G303</f>
        <v>ViewClear 24</v>
      </c>
      <c r="I303" s="2">
        <f>Raw_Data!H303</f>
        <v>1</v>
      </c>
      <c r="J303" s="4">
        <f>Raw_Data!I303</f>
        <v>9375.76</v>
      </c>
      <c r="K303" s="4">
        <f>Raw_Data!J303</f>
        <v>5812.97</v>
      </c>
      <c r="L303" s="5">
        <f>IF(Raw_Data!K303="",0,Raw_Data!K303)</f>
        <v>0.2</v>
      </c>
      <c r="M303" s="4">
        <f t="shared" si="17"/>
        <v>7500.61</v>
      </c>
      <c r="N303" s="4">
        <f t="shared" si="18"/>
        <v>1687.64</v>
      </c>
      <c r="O303" s="6">
        <f t="shared" si="19"/>
        <v>0.22500036663684689</v>
      </c>
    </row>
    <row r="304" spans="1:15" ht="15" customHeight="1" x14ac:dyDescent="0.3">
      <c r="A304" s="2">
        <f>Raw_Data!A304</f>
        <v>100303</v>
      </c>
      <c r="B304" s="3">
        <f>DATEVALUE(Raw_Data!B304)</f>
        <v>45558</v>
      </c>
      <c r="C304" s="2" t="str">
        <f t="shared" si="16"/>
        <v>Sep-2024</v>
      </c>
      <c r="D304" s="2" t="str">
        <f>PROPER(TRIM(Raw_Data!C304))</f>
        <v>Pranav Kapoor</v>
      </c>
      <c r="E304" s="2" t="str">
        <f>PROPER(TRIM(Raw_Data!D304))</f>
        <v>North</v>
      </c>
      <c r="F304" s="2" t="str">
        <f>PROPER(TRIM(Raw_Data!E304))</f>
        <v>Electronics</v>
      </c>
      <c r="G304" s="2" t="str">
        <f>PROPER(TRIM(Raw_Data!F304))</f>
        <v>Monitors</v>
      </c>
      <c r="H304" s="2" t="str">
        <f>Raw_Data!G304</f>
        <v>CurveTech 32</v>
      </c>
      <c r="I304" s="2">
        <f>Raw_Data!H304</f>
        <v>7</v>
      </c>
      <c r="J304" s="4">
        <f>Raw_Data!I304</f>
        <v>20581.09</v>
      </c>
      <c r="K304" s="4">
        <f>Raw_Data!J304</f>
        <v>11937.03</v>
      </c>
      <c r="L304" s="5">
        <f>IF(Raw_Data!K304="",0,Raw_Data!K304)</f>
        <v>0.1</v>
      </c>
      <c r="M304" s="4">
        <f t="shared" si="17"/>
        <v>129660.87</v>
      </c>
      <c r="N304" s="4">
        <f t="shared" si="18"/>
        <v>46101.66</v>
      </c>
      <c r="O304" s="6">
        <f t="shared" si="19"/>
        <v>0.35555568923762432</v>
      </c>
    </row>
    <row r="305" spans="1:15" ht="15" customHeight="1" x14ac:dyDescent="0.3">
      <c r="A305" s="2">
        <f>Raw_Data!A305</f>
        <v>100304</v>
      </c>
      <c r="B305" s="3">
        <f>DATEVALUE(Raw_Data!B305)</f>
        <v>45632</v>
      </c>
      <c r="C305" s="2" t="str">
        <f t="shared" si="16"/>
        <v>Dec-2024</v>
      </c>
      <c r="D305" s="2" t="str">
        <f>PROPER(TRIM(Raw_Data!C305))</f>
        <v>Saanvi Chopra</v>
      </c>
      <c r="E305" s="2" t="str">
        <f>PROPER(TRIM(Raw_Data!D305))</f>
        <v>North</v>
      </c>
      <c r="F305" s="2" t="str">
        <f>PROPER(TRIM(Raw_Data!E305))</f>
        <v>Electronics</v>
      </c>
      <c r="G305" s="2" t="str">
        <f>PROPER(TRIM(Raw_Data!F305))</f>
        <v>Headphones</v>
      </c>
      <c r="H305" s="2" t="str">
        <f>Raw_Data!G305</f>
        <v>StudioFit</v>
      </c>
      <c r="I305" s="2">
        <f>Raw_Data!H305</f>
        <v>5</v>
      </c>
      <c r="J305" s="4">
        <f>Raw_Data!I305</f>
        <v>3178.76</v>
      </c>
      <c r="K305" s="4">
        <f>Raw_Data!J305</f>
        <v>1589.38</v>
      </c>
      <c r="L305" s="5">
        <f>IF(Raw_Data!K305="",0,Raw_Data!K305)</f>
        <v>0.1</v>
      </c>
      <c r="M305" s="4">
        <f t="shared" si="17"/>
        <v>14304.42</v>
      </c>
      <c r="N305" s="4">
        <f t="shared" si="18"/>
        <v>6357.52</v>
      </c>
      <c r="O305" s="6">
        <f t="shared" si="19"/>
        <v>0.44444444444444448</v>
      </c>
    </row>
    <row r="306" spans="1:15" ht="15" customHeight="1" x14ac:dyDescent="0.3">
      <c r="A306" s="2">
        <f>Raw_Data!A306</f>
        <v>100305</v>
      </c>
      <c r="B306" s="3">
        <f>DATEVALUE(Raw_Data!B306)</f>
        <v>45601</v>
      </c>
      <c r="C306" s="2" t="str">
        <f t="shared" si="16"/>
        <v>Nov-2024</v>
      </c>
      <c r="D306" s="2" t="str">
        <f>PROPER(TRIM(Raw_Data!C306))</f>
        <v>Tanvi Malhotra</v>
      </c>
      <c r="E306" s="2" t="str">
        <f>PROPER(TRIM(Raw_Data!D306))</f>
        <v>East</v>
      </c>
      <c r="F306" s="2" t="str">
        <f>PROPER(TRIM(Raw_Data!E306))</f>
        <v>Clothing</v>
      </c>
      <c r="G306" s="2" t="str">
        <f>PROPER(TRIM(Raw_Data!F306))</f>
        <v>T-Shirts</v>
      </c>
      <c r="H306" s="2" t="str">
        <f>Raw_Data!G306</f>
        <v>ActiveDry Sport</v>
      </c>
      <c r="I306" s="2">
        <f>Raw_Data!H306</f>
        <v>4</v>
      </c>
      <c r="J306" s="4">
        <f>Raw_Data!I306</f>
        <v>630.32000000000005</v>
      </c>
      <c r="K306" s="4">
        <f>Raw_Data!J306</f>
        <v>283.64</v>
      </c>
      <c r="L306" s="5">
        <f>IF(Raw_Data!K306="",0,Raw_Data!K306)</f>
        <v>0.1</v>
      </c>
      <c r="M306" s="4">
        <f t="shared" si="17"/>
        <v>2269.15</v>
      </c>
      <c r="N306" s="4">
        <f t="shared" si="18"/>
        <v>1134.5899999999999</v>
      </c>
      <c r="O306" s="6">
        <f t="shared" si="19"/>
        <v>0.50000661040477701</v>
      </c>
    </row>
    <row r="307" spans="1:15" ht="15" customHeight="1" x14ac:dyDescent="0.3">
      <c r="A307" s="2">
        <f>Raw_Data!A307</f>
        <v>100306</v>
      </c>
      <c r="B307" s="3">
        <f>DATEVALUE(Raw_Data!B307)</f>
        <v>45370</v>
      </c>
      <c r="C307" s="2" t="str">
        <f t="shared" si="16"/>
        <v>Mar-2024</v>
      </c>
      <c r="D307" s="2" t="str">
        <f>PROPER(TRIM(Raw_Data!C307))</f>
        <v>Yash Patel</v>
      </c>
      <c r="E307" s="2" t="str">
        <f>PROPER(TRIM(Raw_Data!D307))</f>
        <v>West</v>
      </c>
      <c r="F307" s="2" t="str">
        <f>PROPER(TRIM(Raw_Data!E307))</f>
        <v>Office Supplies</v>
      </c>
      <c r="G307" s="2" t="str">
        <f>PROPER(TRIM(Raw_Data!F307))</f>
        <v>Staplers</v>
      </c>
      <c r="H307" s="2" t="str">
        <f>Raw_Data!G307</f>
        <v>HeavyDuty Pro</v>
      </c>
      <c r="I307" s="2">
        <f>Raw_Data!H307</f>
        <v>9</v>
      </c>
      <c r="J307" s="4">
        <f>Raw_Data!I307</f>
        <v>464.22</v>
      </c>
      <c r="K307" s="4">
        <f>Raw_Data!J307</f>
        <v>232.11</v>
      </c>
      <c r="L307" s="5">
        <f>IF(Raw_Data!K307="",0,Raw_Data!K307)</f>
        <v>0.15</v>
      </c>
      <c r="M307" s="4">
        <f t="shared" si="17"/>
        <v>3551.28</v>
      </c>
      <c r="N307" s="4">
        <f t="shared" si="18"/>
        <v>1462.29</v>
      </c>
      <c r="O307" s="6">
        <f t="shared" si="19"/>
        <v>0.41176420896127591</v>
      </c>
    </row>
    <row r="308" spans="1:15" ht="15" customHeight="1" x14ac:dyDescent="0.3">
      <c r="A308" s="2">
        <f>Raw_Data!A308</f>
        <v>100307</v>
      </c>
      <c r="B308" s="3">
        <f>DATEVALUE(Raw_Data!B308)</f>
        <v>45445</v>
      </c>
      <c r="C308" s="2" t="str">
        <f t="shared" si="16"/>
        <v>Jun-2024</v>
      </c>
      <c r="D308" s="2" t="str">
        <f>PROPER(TRIM(Raw_Data!C308))</f>
        <v>Simran Patel</v>
      </c>
      <c r="E308" s="2" t="str">
        <f>PROPER(TRIM(Raw_Data!D308))</f>
        <v>South</v>
      </c>
      <c r="F308" s="2" t="str">
        <f>PROPER(TRIM(Raw_Data!E308))</f>
        <v>Furniture</v>
      </c>
      <c r="G308" s="2" t="str">
        <f>PROPER(TRIM(Raw_Data!F308))</f>
        <v>Bookshelves</v>
      </c>
      <c r="H308" s="2" t="str">
        <f>Raw_Data!G308</f>
        <v>WoodCraft 5-Tier</v>
      </c>
      <c r="I308" s="2">
        <f>Raw_Data!H308</f>
        <v>9</v>
      </c>
      <c r="J308" s="4">
        <f>Raw_Data!I308</f>
        <v>3465.57</v>
      </c>
      <c r="K308" s="4">
        <f>Raw_Data!J308</f>
        <v>2079.34</v>
      </c>
      <c r="L308" s="5">
        <f>IF(Raw_Data!K308="",0,Raw_Data!K308)</f>
        <v>0.15</v>
      </c>
      <c r="M308" s="4">
        <f t="shared" si="17"/>
        <v>26511.61</v>
      </c>
      <c r="N308" s="4">
        <f t="shared" si="18"/>
        <v>7797.55</v>
      </c>
      <c r="O308" s="6">
        <f t="shared" si="19"/>
        <v>0.29411831269394806</v>
      </c>
    </row>
    <row r="309" spans="1:15" ht="15" customHeight="1" x14ac:dyDescent="0.3">
      <c r="A309" s="2">
        <f>Raw_Data!A309</f>
        <v>100308</v>
      </c>
      <c r="B309" s="3" t="e">
        <f>DATEVALUE(Raw_Data!B309)</f>
        <v>#VALUE!</v>
      </c>
      <c r="C309" s="2" t="e">
        <f t="shared" si="16"/>
        <v>#VALUE!</v>
      </c>
      <c r="D309" s="2" t="str">
        <f>PROPER(TRIM(Raw_Data!C309))</f>
        <v>Sneha Agarwal</v>
      </c>
      <c r="E309" s="2" t="str">
        <f>PROPER(TRIM(Raw_Data!D309))</f>
        <v>East</v>
      </c>
      <c r="F309" s="2" t="str">
        <f>PROPER(TRIM(Raw_Data!E309))</f>
        <v>Furniture</v>
      </c>
      <c r="G309" s="2" t="str">
        <f>PROPER(TRIM(Raw_Data!F309))</f>
        <v>Desks</v>
      </c>
      <c r="H309" s="2" t="str">
        <f>Raw_Data!G309</f>
        <v>StudyMax L</v>
      </c>
      <c r="I309" s="2">
        <f>Raw_Data!H309</f>
        <v>3</v>
      </c>
      <c r="J309" s="4">
        <f>Raw_Data!I309</f>
        <v>6038.91</v>
      </c>
      <c r="K309" s="4">
        <f>Raw_Data!J309</f>
        <v>3623.34</v>
      </c>
      <c r="L309" s="5">
        <f>IF(Raw_Data!K309="",0,Raw_Data!K309)</f>
        <v>0.2</v>
      </c>
      <c r="M309" s="4">
        <f t="shared" si="17"/>
        <v>14493.38</v>
      </c>
      <c r="N309" s="4">
        <f t="shared" si="18"/>
        <v>3623.36</v>
      </c>
      <c r="O309" s="6">
        <f t="shared" si="19"/>
        <v>0.25000103495526926</v>
      </c>
    </row>
    <row r="310" spans="1:15" ht="15" customHeight="1" x14ac:dyDescent="0.3">
      <c r="A310" s="2">
        <f>Raw_Data!A310</f>
        <v>100309</v>
      </c>
      <c r="B310" s="3">
        <f>DATEVALUE(Raw_Data!B310)</f>
        <v>45358</v>
      </c>
      <c r="C310" s="2" t="str">
        <f t="shared" si="16"/>
        <v>Mar-2024</v>
      </c>
      <c r="D310" s="2" t="str">
        <f>PROPER(TRIM(Raw_Data!C310))</f>
        <v>Vivaan Rao</v>
      </c>
      <c r="E310" s="2" t="str">
        <f>PROPER(TRIM(Raw_Data!D310))</f>
        <v>South</v>
      </c>
      <c r="F310" s="2" t="str">
        <f>PROPER(TRIM(Raw_Data!E310))</f>
        <v>Clothing</v>
      </c>
      <c r="G310" s="2" t="str">
        <f>PROPER(TRIM(Raw_Data!F310))</f>
        <v>Shoes</v>
      </c>
      <c r="H310" s="2" t="str">
        <f>Raw_Data!G310</f>
        <v>WalkEase Casual</v>
      </c>
      <c r="I310" s="2">
        <f>Raw_Data!H310</f>
        <v>7</v>
      </c>
      <c r="J310" s="4">
        <f>Raw_Data!I310</f>
        <v>1926.39</v>
      </c>
      <c r="K310" s="4">
        <f>Raw_Data!J310</f>
        <v>963.19</v>
      </c>
      <c r="L310" s="5">
        <f>IF(Raw_Data!K310="",0,Raw_Data!K310)</f>
        <v>0</v>
      </c>
      <c r="M310" s="4">
        <f t="shared" si="17"/>
        <v>13484.73</v>
      </c>
      <c r="N310" s="4">
        <f t="shared" si="18"/>
        <v>6742.4</v>
      </c>
      <c r="O310" s="6">
        <f t="shared" si="19"/>
        <v>0.50000259552842363</v>
      </c>
    </row>
    <row r="311" spans="1:15" ht="15" customHeight="1" x14ac:dyDescent="0.3">
      <c r="A311" s="2">
        <f>Raw_Data!A311</f>
        <v>100310</v>
      </c>
      <c r="B311" s="3">
        <f>DATEVALUE(Raw_Data!B311)</f>
        <v>45533</v>
      </c>
      <c r="C311" s="2" t="str">
        <f t="shared" si="16"/>
        <v>Aug-2024</v>
      </c>
      <c r="D311" s="2" t="str">
        <f>PROPER(TRIM(Raw_Data!C311))</f>
        <v>Aadhya Malhotra</v>
      </c>
      <c r="E311" s="2" t="str">
        <f>PROPER(TRIM(Raw_Data!D311))</f>
        <v>South</v>
      </c>
      <c r="F311" s="2" t="str">
        <f>PROPER(TRIM(Raw_Data!E311))</f>
        <v>Electronics</v>
      </c>
      <c r="G311" s="2" t="str">
        <f>PROPER(TRIM(Raw_Data!F311))</f>
        <v>Headphones</v>
      </c>
      <c r="H311" s="2" t="str">
        <f>Raw_Data!G311</f>
        <v>BassBeat Mini</v>
      </c>
      <c r="I311" s="2">
        <f>Raw_Data!H311</f>
        <v>10</v>
      </c>
      <c r="J311" s="4">
        <f>Raw_Data!I311</f>
        <v>1216.43</v>
      </c>
      <c r="K311" s="4">
        <f>Raw_Data!J311</f>
        <v>729.86</v>
      </c>
      <c r="L311" s="5">
        <f>IF(Raw_Data!K311="",0,Raw_Data!K311)</f>
        <v>0.05</v>
      </c>
      <c r="M311" s="4">
        <f t="shared" si="17"/>
        <v>11556.09</v>
      </c>
      <c r="N311" s="4">
        <f t="shared" si="18"/>
        <v>4257.49</v>
      </c>
      <c r="O311" s="6">
        <f t="shared" si="19"/>
        <v>0.36841959520910617</v>
      </c>
    </row>
    <row r="312" spans="1:15" ht="15" customHeight="1" x14ac:dyDescent="0.3">
      <c r="A312" s="2">
        <f>Raw_Data!A312</f>
        <v>100311</v>
      </c>
      <c r="B312" s="3" t="e">
        <f>DATEVALUE(Raw_Data!B312)</f>
        <v>#VALUE!</v>
      </c>
      <c r="C312" s="2" t="e">
        <f t="shared" si="16"/>
        <v>#VALUE!</v>
      </c>
      <c r="D312" s="2" t="str">
        <f>PROPER(TRIM(Raw_Data!C312))</f>
        <v>Tanvi Verma</v>
      </c>
      <c r="E312" s="2" t="str">
        <f>PROPER(TRIM(Raw_Data!D312))</f>
        <v>North</v>
      </c>
      <c r="F312" s="2" t="str">
        <f>PROPER(TRIM(Raw_Data!E312))</f>
        <v>Electronics</v>
      </c>
      <c r="G312" s="2" t="str">
        <f>PROPER(TRIM(Raw_Data!F312))</f>
        <v>Keyboards</v>
      </c>
      <c r="H312" s="2" t="str">
        <f>Raw_Data!G312</f>
        <v>SilentBoard</v>
      </c>
      <c r="I312" s="2">
        <f>Raw_Data!H312</f>
        <v>1</v>
      </c>
      <c r="J312" s="4">
        <f>Raw_Data!I312</f>
        <v>1010.91</v>
      </c>
      <c r="K312" s="4">
        <f>Raw_Data!J312</f>
        <v>606.54</v>
      </c>
      <c r="L312" s="5">
        <f>IF(Raw_Data!K312="",0,Raw_Data!K312)</f>
        <v>0</v>
      </c>
      <c r="M312" s="4">
        <f t="shared" si="17"/>
        <v>1010.91</v>
      </c>
      <c r="N312" s="4">
        <f t="shared" si="18"/>
        <v>404.37</v>
      </c>
      <c r="O312" s="6">
        <f t="shared" si="19"/>
        <v>0.40000593524646111</v>
      </c>
    </row>
    <row r="313" spans="1:15" ht="15" customHeight="1" x14ac:dyDescent="0.3">
      <c r="A313" s="2">
        <f>Raw_Data!A313</f>
        <v>100312</v>
      </c>
      <c r="B313" s="3">
        <f>DATEVALUE(Raw_Data!B313)</f>
        <v>45643</v>
      </c>
      <c r="C313" s="2" t="str">
        <f t="shared" si="16"/>
        <v>Dec-2024</v>
      </c>
      <c r="D313" s="2" t="str">
        <f>PROPER(TRIM(Raw_Data!C313))</f>
        <v>Kiara Bose</v>
      </c>
      <c r="E313" s="2" t="str">
        <f>PROPER(TRIM(Raw_Data!D313))</f>
        <v>East</v>
      </c>
      <c r="F313" s="2" t="str">
        <f>PROPER(TRIM(Raw_Data!E313))</f>
        <v>Office Supplies</v>
      </c>
      <c r="G313" s="2" t="str">
        <f>PROPER(TRIM(Raw_Data!F313))</f>
        <v>Binders</v>
      </c>
      <c r="H313" s="2" t="str">
        <f>Raw_Data!G313</f>
        <v>RingFile A4</v>
      </c>
      <c r="I313" s="2">
        <f>Raw_Data!H313</f>
        <v>7</v>
      </c>
      <c r="J313" s="4">
        <f>Raw_Data!I313</f>
        <v>177.89</v>
      </c>
      <c r="K313" s="4">
        <f>Raw_Data!J313</f>
        <v>85.39</v>
      </c>
      <c r="L313" s="5">
        <f>IF(Raw_Data!K313="",0,Raw_Data!K313)</f>
        <v>0</v>
      </c>
      <c r="M313" s="4">
        <f t="shared" si="17"/>
        <v>1245.23</v>
      </c>
      <c r="N313" s="4">
        <f t="shared" si="18"/>
        <v>647.5</v>
      </c>
      <c r="O313" s="6">
        <f t="shared" si="19"/>
        <v>0.51998425993591546</v>
      </c>
    </row>
    <row r="314" spans="1:15" ht="15" customHeight="1" x14ac:dyDescent="0.3">
      <c r="A314" s="2">
        <f>Raw_Data!A314</f>
        <v>100313</v>
      </c>
      <c r="B314" s="3">
        <f>DATEVALUE(Raw_Data!B314)</f>
        <v>45655</v>
      </c>
      <c r="C314" s="2" t="str">
        <f t="shared" si="16"/>
        <v>Dec-2024</v>
      </c>
      <c r="D314" s="2" t="str">
        <f>PROPER(TRIM(Raw_Data!C314))</f>
        <v>Pranav Bose</v>
      </c>
      <c r="E314" s="2" t="str">
        <f>PROPER(TRIM(Raw_Data!D314))</f>
        <v>West</v>
      </c>
      <c r="F314" s="2" t="str">
        <f>PROPER(TRIM(Raw_Data!E314))</f>
        <v>Clothing</v>
      </c>
      <c r="G314" s="2" t="str">
        <f>PROPER(TRIM(Raw_Data!F314))</f>
        <v>Shoes</v>
      </c>
      <c r="H314" s="2" t="str">
        <f>Raw_Data!G314</f>
        <v>RunFast Sport</v>
      </c>
      <c r="I314" s="2">
        <f>Raw_Data!H314</f>
        <v>1</v>
      </c>
      <c r="J314" s="4">
        <f>Raw_Data!I314</f>
        <v>2530.46</v>
      </c>
      <c r="K314" s="4">
        <f>Raw_Data!J314</f>
        <v>1214.6199999999999</v>
      </c>
      <c r="L314" s="5">
        <f>IF(Raw_Data!K314="",0,Raw_Data!K314)</f>
        <v>0.1</v>
      </c>
      <c r="M314" s="4">
        <f t="shared" si="17"/>
        <v>2277.41</v>
      </c>
      <c r="N314" s="4">
        <f t="shared" si="18"/>
        <v>1062.79</v>
      </c>
      <c r="O314" s="6">
        <f t="shared" si="19"/>
        <v>0.46666608120628261</v>
      </c>
    </row>
    <row r="315" spans="1:15" ht="15" customHeight="1" x14ac:dyDescent="0.3">
      <c r="A315" s="2">
        <f>Raw_Data!A315</f>
        <v>100314</v>
      </c>
      <c r="B315" s="3">
        <f>DATEVALUE(Raw_Data!B315)</f>
        <v>45497</v>
      </c>
      <c r="C315" s="2" t="str">
        <f t="shared" si="16"/>
        <v>Jul-2024</v>
      </c>
      <c r="D315" s="2" t="str">
        <f>PROPER(TRIM(Raw_Data!C315))</f>
        <v>Myra Shah</v>
      </c>
      <c r="E315" s="2" t="str">
        <f>PROPER(TRIM(Raw_Data!D315))</f>
        <v>North</v>
      </c>
      <c r="F315" s="2" t="str">
        <f>PROPER(TRIM(Raw_Data!E315))</f>
        <v>Electronics</v>
      </c>
      <c r="G315" s="2" t="str">
        <f>PROPER(TRIM(Raw_Data!F315))</f>
        <v>Keyboards</v>
      </c>
      <c r="H315" s="2" t="str">
        <f>Raw_Data!G315</f>
        <v>GamerEdge RGB</v>
      </c>
      <c r="I315" s="2">
        <f>Raw_Data!H315</f>
        <v>6</v>
      </c>
      <c r="J315" s="4">
        <f>Raw_Data!I315</f>
        <v>2979.38</v>
      </c>
      <c r="K315" s="4">
        <f>Raw_Data!J315</f>
        <v>1489.69</v>
      </c>
      <c r="L315" s="5">
        <f>IF(Raw_Data!K315="",0,Raw_Data!K315)</f>
        <v>0.15</v>
      </c>
      <c r="M315" s="4">
        <f t="shared" si="17"/>
        <v>15194.84</v>
      </c>
      <c r="N315" s="4">
        <f t="shared" si="18"/>
        <v>6256.7</v>
      </c>
      <c r="O315" s="6">
        <f t="shared" si="19"/>
        <v>0.41176478330801769</v>
      </c>
    </row>
    <row r="316" spans="1:15" ht="15" customHeight="1" x14ac:dyDescent="0.3">
      <c r="A316" s="2">
        <f>Raw_Data!A316</f>
        <v>100315</v>
      </c>
      <c r="B316" s="3">
        <f>DATEVALUE(Raw_Data!B316)</f>
        <v>45514</v>
      </c>
      <c r="C316" s="2" t="str">
        <f t="shared" si="16"/>
        <v>Aug-2024</v>
      </c>
      <c r="D316" s="2" t="str">
        <f>PROPER(TRIM(Raw_Data!C316))</f>
        <v>Ishaan Patel</v>
      </c>
      <c r="E316" s="2" t="str">
        <f>PROPER(TRIM(Raw_Data!D316))</f>
        <v>South</v>
      </c>
      <c r="F316" s="2" t="str">
        <f>PROPER(TRIM(Raw_Data!E316))</f>
        <v>Furniture</v>
      </c>
      <c r="G316" s="2" t="str">
        <f>PROPER(TRIM(Raw_Data!F316))</f>
        <v>Chairs</v>
      </c>
      <c r="H316" s="2" t="str">
        <f>Raw_Data!G316</f>
        <v>ClassicWood</v>
      </c>
      <c r="I316" s="2">
        <f>Raw_Data!H316</f>
        <v>5</v>
      </c>
      <c r="J316" s="4">
        <f>Raw_Data!I316</f>
        <v>5149.2299999999996</v>
      </c>
      <c r="K316" s="4">
        <f>Raw_Data!J316</f>
        <v>3347</v>
      </c>
      <c r="L316" s="5">
        <f>IF(Raw_Data!K316="",0,Raw_Data!K316)</f>
        <v>0.2</v>
      </c>
      <c r="M316" s="4">
        <f t="shared" si="17"/>
        <v>20596.919999999998</v>
      </c>
      <c r="N316" s="4">
        <f t="shared" si="18"/>
        <v>3861.92</v>
      </c>
      <c r="O316" s="6">
        <f t="shared" si="19"/>
        <v>0.18749987862262904</v>
      </c>
    </row>
    <row r="317" spans="1:15" ht="15" customHeight="1" x14ac:dyDescent="0.3">
      <c r="A317" s="2">
        <f>Raw_Data!A317</f>
        <v>100316</v>
      </c>
      <c r="B317" s="3">
        <f>DATEVALUE(Raw_Data!B317)</f>
        <v>45488</v>
      </c>
      <c r="C317" s="2" t="str">
        <f t="shared" si="16"/>
        <v>Jul-2024</v>
      </c>
      <c r="D317" s="2" t="str">
        <f>PROPER(TRIM(Raw_Data!C317))</f>
        <v>Sneha Bhatt</v>
      </c>
      <c r="E317" s="2" t="str">
        <f>PROPER(TRIM(Raw_Data!D317))</f>
        <v>North</v>
      </c>
      <c r="F317" s="2" t="str">
        <f>PROPER(TRIM(Raw_Data!E317))</f>
        <v>Clothing</v>
      </c>
      <c r="G317" s="2" t="str">
        <f>PROPER(TRIM(Raw_Data!F317))</f>
        <v>Jackets</v>
      </c>
      <c r="H317" s="2" t="str">
        <f>Raw_Data!G317</f>
        <v>WinterGuard</v>
      </c>
      <c r="I317" s="2">
        <f>Raw_Data!H317</f>
        <v>10</v>
      </c>
      <c r="J317" s="4">
        <f>Raw_Data!I317</f>
        <v>2900.05</v>
      </c>
      <c r="K317" s="4">
        <f>Raw_Data!J317</f>
        <v>1450.02</v>
      </c>
      <c r="L317" s="5">
        <f>IF(Raw_Data!K317="",0,Raw_Data!K317)</f>
        <v>0</v>
      </c>
      <c r="M317" s="4">
        <f t="shared" si="17"/>
        <v>29000.5</v>
      </c>
      <c r="N317" s="4">
        <f t="shared" si="18"/>
        <v>14500.3</v>
      </c>
      <c r="O317" s="6">
        <f t="shared" si="19"/>
        <v>0.50000172410820498</v>
      </c>
    </row>
    <row r="318" spans="1:15" ht="15" customHeight="1" x14ac:dyDescent="0.3">
      <c r="A318" s="2">
        <f>Raw_Data!A318</f>
        <v>100317</v>
      </c>
      <c r="B318" s="3" t="e">
        <f>DATEVALUE(Raw_Data!B318)</f>
        <v>#VALUE!</v>
      </c>
      <c r="C318" s="2" t="e">
        <f t="shared" si="16"/>
        <v>#VALUE!</v>
      </c>
      <c r="D318" s="2" t="str">
        <f>PROPER(TRIM(Raw_Data!C318))</f>
        <v>Diya Gupta</v>
      </c>
      <c r="E318" s="2" t="str">
        <f>PROPER(TRIM(Raw_Data!D318))</f>
        <v>South</v>
      </c>
      <c r="F318" s="2" t="str">
        <f>PROPER(TRIM(Raw_Data!E318))</f>
        <v>Furniture</v>
      </c>
      <c r="G318" s="2" t="str">
        <f>PROPER(TRIM(Raw_Data!F318))</f>
        <v>Chairs</v>
      </c>
      <c r="H318" s="2" t="str">
        <f>Raw_Data!G318</f>
        <v>MeshFlex Pro</v>
      </c>
      <c r="I318" s="2">
        <f>Raw_Data!H318</f>
        <v>6</v>
      </c>
      <c r="J318" s="4">
        <f>Raw_Data!I318</f>
        <v>6778.89</v>
      </c>
      <c r="K318" s="4">
        <f>Raw_Data!J318</f>
        <v>4202.91</v>
      </c>
      <c r="L318" s="5">
        <f>IF(Raw_Data!K318="",0,Raw_Data!K318)</f>
        <v>0</v>
      </c>
      <c r="M318" s="4">
        <f t="shared" si="17"/>
        <v>40673.339999999997</v>
      </c>
      <c r="N318" s="4">
        <f t="shared" si="18"/>
        <v>15455.88</v>
      </c>
      <c r="O318" s="6">
        <f t="shared" si="19"/>
        <v>0.38000026553019745</v>
      </c>
    </row>
    <row r="319" spans="1:15" ht="15" customHeight="1" x14ac:dyDescent="0.3">
      <c r="A319" s="2">
        <f>Raw_Data!A319</f>
        <v>100318</v>
      </c>
      <c r="B319" s="3" t="e">
        <f>DATEVALUE(Raw_Data!B319)</f>
        <v>#VALUE!</v>
      </c>
      <c r="C319" s="2" t="e">
        <f t="shared" si="16"/>
        <v>#VALUE!</v>
      </c>
      <c r="D319" s="2" t="str">
        <f>PROPER(TRIM(Raw_Data!C319))</f>
        <v>Simran Gupta</v>
      </c>
      <c r="E319" s="2" t="str">
        <f>PROPER(TRIM(Raw_Data!D319))</f>
        <v>South</v>
      </c>
      <c r="F319" s="2" t="str">
        <f>PROPER(TRIM(Raw_Data!E319))</f>
        <v>Clothing</v>
      </c>
      <c r="G319" s="2" t="str">
        <f>PROPER(TRIM(Raw_Data!F319))</f>
        <v>Shoes</v>
      </c>
      <c r="H319" s="2" t="str">
        <f>Raw_Data!G319</f>
        <v>WalkEase Casual</v>
      </c>
      <c r="I319" s="2">
        <f>Raw_Data!H319</f>
        <v>2</v>
      </c>
      <c r="J319" s="4">
        <f>Raw_Data!I319</f>
        <v>1994.82</v>
      </c>
      <c r="K319" s="4">
        <f>Raw_Data!J319</f>
        <v>997.41</v>
      </c>
      <c r="L319" s="5">
        <f>IF(Raw_Data!K319="",0,Raw_Data!K319)</f>
        <v>0.05</v>
      </c>
      <c r="M319" s="4">
        <f t="shared" si="17"/>
        <v>3790.16</v>
      </c>
      <c r="N319" s="4">
        <f t="shared" si="18"/>
        <v>1795.34</v>
      </c>
      <c r="O319" s="6">
        <f t="shared" si="19"/>
        <v>0.47368448825379406</v>
      </c>
    </row>
    <row r="320" spans="1:15" ht="15" customHeight="1" x14ac:dyDescent="0.3">
      <c r="A320" s="2">
        <f>Raw_Data!A320</f>
        <v>100319</v>
      </c>
      <c r="B320" s="3">
        <f>DATEVALUE(Raw_Data!B320)</f>
        <v>45647</v>
      </c>
      <c r="C320" s="2" t="str">
        <f t="shared" si="16"/>
        <v>Dec-2024</v>
      </c>
      <c r="D320" s="2" t="str">
        <f>PROPER(TRIM(Raw_Data!C320))</f>
        <v>Neha Bhatt</v>
      </c>
      <c r="E320" s="2" t="str">
        <f>PROPER(TRIM(Raw_Data!D320))</f>
        <v>East</v>
      </c>
      <c r="F320" s="2" t="str">
        <f>PROPER(TRIM(Raw_Data!E320))</f>
        <v>Clothing</v>
      </c>
      <c r="G320" s="2" t="str">
        <f>PROPER(TRIM(Raw_Data!F320))</f>
        <v>Jackets</v>
      </c>
      <c r="H320" s="2" t="str">
        <f>Raw_Data!G320</f>
        <v>WinterGuard</v>
      </c>
      <c r="I320" s="2">
        <f>Raw_Data!H320</f>
        <v>10</v>
      </c>
      <c r="J320" s="4">
        <f>Raw_Data!I320</f>
        <v>2681.18</v>
      </c>
      <c r="K320" s="4">
        <f>Raw_Data!J320</f>
        <v>1340.59</v>
      </c>
      <c r="L320" s="5">
        <f>IF(Raw_Data!K320="",0,Raw_Data!K320)</f>
        <v>0.1</v>
      </c>
      <c r="M320" s="4">
        <f t="shared" si="17"/>
        <v>24130.62</v>
      </c>
      <c r="N320" s="4">
        <f t="shared" si="18"/>
        <v>10724.72</v>
      </c>
      <c r="O320" s="6">
        <f t="shared" si="19"/>
        <v>0.44444444444444442</v>
      </c>
    </row>
    <row r="321" spans="1:15" ht="15" customHeight="1" x14ac:dyDescent="0.3">
      <c r="A321" s="2">
        <f>Raw_Data!A321</f>
        <v>100320</v>
      </c>
      <c r="B321" s="3" t="e">
        <f>DATEVALUE(Raw_Data!B321)</f>
        <v>#VALUE!</v>
      </c>
      <c r="C321" s="2" t="e">
        <f t="shared" si="16"/>
        <v>#VALUE!</v>
      </c>
      <c r="D321" s="2" t="str">
        <f>PROPER(TRIM(Raw_Data!C321))</f>
        <v>Sai Sharma</v>
      </c>
      <c r="E321" s="2" t="str">
        <f>PROPER(TRIM(Raw_Data!D321))</f>
        <v>East</v>
      </c>
      <c r="F321" s="2" t="str">
        <f>PROPER(TRIM(Raw_Data!E321))</f>
        <v>Furniture</v>
      </c>
      <c r="G321" s="2" t="str">
        <f>PROPER(TRIM(Raw_Data!F321))</f>
        <v>Cabinets</v>
      </c>
      <c r="H321" s="2" t="str">
        <f>Raw_Data!G321</f>
        <v>StorageMax Wood</v>
      </c>
      <c r="I321" s="2">
        <f>Raw_Data!H321</f>
        <v>8</v>
      </c>
      <c r="J321" s="4">
        <f>Raw_Data!I321</f>
        <v>4958.68</v>
      </c>
      <c r="K321" s="4">
        <f>Raw_Data!J321</f>
        <v>3123.97</v>
      </c>
      <c r="L321" s="5">
        <f>IF(Raw_Data!K321="",0,Raw_Data!K321)</f>
        <v>0.1</v>
      </c>
      <c r="M321" s="4">
        <f t="shared" si="17"/>
        <v>35702.5</v>
      </c>
      <c r="N321" s="4">
        <f t="shared" si="18"/>
        <v>10710.74</v>
      </c>
      <c r="O321" s="6">
        <f t="shared" si="19"/>
        <v>0.29999971990756952</v>
      </c>
    </row>
    <row r="322" spans="1:15" ht="15" customHeight="1" x14ac:dyDescent="0.3">
      <c r="A322" s="2">
        <f>Raw_Data!A322</f>
        <v>100321</v>
      </c>
      <c r="B322" s="3">
        <f>DATEVALUE(Raw_Data!B322)</f>
        <v>45383</v>
      </c>
      <c r="C322" s="2" t="str">
        <f t="shared" ref="C322:C385" si="20">TEXT(B322,"mmm-yyyy")</f>
        <v>Apr-2024</v>
      </c>
      <c r="D322" s="2" t="str">
        <f>PROPER(TRIM(Raw_Data!C322))</f>
        <v>Karan Mehta</v>
      </c>
      <c r="E322" s="2" t="str">
        <f>PROPER(TRIM(Raw_Data!D322))</f>
        <v>West</v>
      </c>
      <c r="F322" s="2" t="str">
        <f>PROPER(TRIM(Raw_Data!E322))</f>
        <v>Clothing</v>
      </c>
      <c r="G322" s="2" t="str">
        <f>PROPER(TRIM(Raw_Data!F322))</f>
        <v>T-Shirts</v>
      </c>
      <c r="H322" s="2" t="str">
        <f>Raw_Data!G322</f>
        <v>ActiveDry Sport</v>
      </c>
      <c r="I322" s="2">
        <f>Raw_Data!H322</f>
        <v>6</v>
      </c>
      <c r="J322" s="4">
        <f>Raw_Data!I322</f>
        <v>664.86</v>
      </c>
      <c r="K322" s="4">
        <f>Raw_Data!J322</f>
        <v>299.18</v>
      </c>
      <c r="L322" s="5">
        <f>IF(Raw_Data!K322="",0,Raw_Data!K322)</f>
        <v>0.15</v>
      </c>
      <c r="M322" s="4">
        <f t="shared" ref="M322:M385" si="21">ROUND(I322*J322*(1-L322),2)</f>
        <v>3390.79</v>
      </c>
      <c r="N322" s="4">
        <f t="shared" ref="N322:N385" si="22">ROUND(M322-(I322*K322),2)</f>
        <v>1595.71</v>
      </c>
      <c r="O322" s="6">
        <f t="shared" ref="O322:O385" si="23">IFERROR(N322/M322,0)</f>
        <v>0.47060124631722994</v>
      </c>
    </row>
    <row r="323" spans="1:15" ht="15" customHeight="1" x14ac:dyDescent="0.3">
      <c r="A323" s="2">
        <f>Raw_Data!A323</f>
        <v>100322</v>
      </c>
      <c r="B323" s="3" t="e">
        <f>DATEVALUE(Raw_Data!B323)</f>
        <v>#VALUE!</v>
      </c>
      <c r="C323" s="2" t="e">
        <f t="shared" si="20"/>
        <v>#VALUE!</v>
      </c>
      <c r="D323" s="2" t="str">
        <f>PROPER(TRIM(Raw_Data!C323))</f>
        <v>Meera Das</v>
      </c>
      <c r="E323" s="2" t="str">
        <f>PROPER(TRIM(Raw_Data!D323))</f>
        <v>East</v>
      </c>
      <c r="F323" s="2" t="str">
        <f>PROPER(TRIM(Raw_Data!E323))</f>
        <v>Office Supplies</v>
      </c>
      <c r="G323" s="2" t="str">
        <f>PROPER(TRIM(Raw_Data!F323))</f>
        <v>Binders</v>
      </c>
      <c r="H323" s="2" t="str">
        <f>Raw_Data!G323</f>
        <v>RingFile A4</v>
      </c>
      <c r="I323" s="2">
        <f>Raw_Data!H323</f>
        <v>3</v>
      </c>
      <c r="J323" s="4">
        <f>Raw_Data!I323</f>
        <v>175.54</v>
      </c>
      <c r="K323" s="4">
        <f>Raw_Data!J323</f>
        <v>84.26</v>
      </c>
      <c r="L323" s="5">
        <f>IF(Raw_Data!K323="",0,Raw_Data!K323)</f>
        <v>0.2</v>
      </c>
      <c r="M323" s="4">
        <f t="shared" si="21"/>
        <v>421.3</v>
      </c>
      <c r="N323" s="4">
        <f t="shared" si="22"/>
        <v>168.52</v>
      </c>
      <c r="O323" s="6">
        <f t="shared" si="23"/>
        <v>0.4</v>
      </c>
    </row>
    <row r="324" spans="1:15" ht="15" customHeight="1" x14ac:dyDescent="0.3">
      <c r="A324" s="2">
        <f>Raw_Data!A324</f>
        <v>100323</v>
      </c>
      <c r="B324" s="3">
        <f>DATEVALUE(Raw_Data!B324)</f>
        <v>45607</v>
      </c>
      <c r="C324" s="2" t="str">
        <f t="shared" si="20"/>
        <v>Nov-2024</v>
      </c>
      <c r="D324" s="2" t="str">
        <f>PROPER(TRIM(Raw_Data!C324))</f>
        <v>Sai Agarwal</v>
      </c>
      <c r="E324" s="2" t="str">
        <f>PROPER(TRIM(Raw_Data!D324))</f>
        <v>East</v>
      </c>
      <c r="F324" s="2" t="str">
        <f>PROPER(TRIM(Raw_Data!E324))</f>
        <v>Clothing</v>
      </c>
      <c r="G324" s="2" t="str">
        <f>PROPER(TRIM(Raw_Data!F324))</f>
        <v>Bags</v>
      </c>
      <c r="H324" s="2" t="str">
        <f>Raw_Data!G324</f>
        <v>CityCarry Backpack</v>
      </c>
      <c r="I324" s="2">
        <f>Raw_Data!H324</f>
        <v>9</v>
      </c>
      <c r="J324" s="4">
        <f>Raw_Data!I324</f>
        <v>1483.37</v>
      </c>
      <c r="K324" s="4">
        <f>Raw_Data!J324</f>
        <v>741.69</v>
      </c>
      <c r="L324" s="5">
        <f>IF(Raw_Data!K324="",0,Raw_Data!K324)</f>
        <v>0.15</v>
      </c>
      <c r="M324" s="4">
        <f t="shared" si="21"/>
        <v>11347.78</v>
      </c>
      <c r="N324" s="4">
        <f t="shared" si="22"/>
        <v>4672.57</v>
      </c>
      <c r="O324" s="6">
        <f t="shared" si="23"/>
        <v>0.41176071443048767</v>
      </c>
    </row>
    <row r="325" spans="1:15" ht="15" customHeight="1" x14ac:dyDescent="0.3">
      <c r="A325" s="2">
        <f>Raw_Data!A325</f>
        <v>100324</v>
      </c>
      <c r="B325" s="3">
        <f>DATEVALUE(Raw_Data!B325)</f>
        <v>45392</v>
      </c>
      <c r="C325" s="2" t="str">
        <f t="shared" si="20"/>
        <v>Apr-2024</v>
      </c>
      <c r="D325" s="2" t="str">
        <f>PROPER(TRIM(Raw_Data!C325))</f>
        <v>Karan Kapoor</v>
      </c>
      <c r="E325" s="2" t="str">
        <f>PROPER(TRIM(Raw_Data!D325))</f>
        <v>North</v>
      </c>
      <c r="F325" s="2" t="str">
        <f>PROPER(TRIM(Raw_Data!E325))</f>
        <v>Office Supplies</v>
      </c>
      <c r="G325" s="2" t="str">
        <f>PROPER(TRIM(Raw_Data!F325))</f>
        <v>Binders</v>
      </c>
      <c r="H325" s="2" t="str">
        <f>Raw_Data!G325</f>
        <v>RingFile A4</v>
      </c>
      <c r="I325" s="2">
        <f>Raw_Data!H325</f>
        <v>10</v>
      </c>
      <c r="J325" s="4">
        <f>Raw_Data!I325</f>
        <v>185.17</v>
      </c>
      <c r="K325" s="4">
        <f>Raw_Data!J325</f>
        <v>88.88</v>
      </c>
      <c r="L325" s="5">
        <f>IF(Raw_Data!K325="",0,Raw_Data!K325)</f>
        <v>0</v>
      </c>
      <c r="M325" s="4">
        <f t="shared" si="21"/>
        <v>1851.7</v>
      </c>
      <c r="N325" s="4">
        <f t="shared" si="22"/>
        <v>962.9</v>
      </c>
      <c r="O325" s="6">
        <f t="shared" si="23"/>
        <v>0.52000864070853803</v>
      </c>
    </row>
    <row r="326" spans="1:15" ht="15" customHeight="1" x14ac:dyDescent="0.3">
      <c r="A326" s="2">
        <f>Raw_Data!A326</f>
        <v>100325</v>
      </c>
      <c r="B326" s="3">
        <f>DATEVALUE(Raw_Data!B326)</f>
        <v>45412</v>
      </c>
      <c r="C326" s="2" t="str">
        <f t="shared" si="20"/>
        <v>Apr-2024</v>
      </c>
      <c r="D326" s="2" t="str">
        <f>PROPER(TRIM(Raw_Data!C326))</f>
        <v>Kiara Pillai</v>
      </c>
      <c r="E326" s="2" t="str">
        <f>PROPER(TRIM(Raw_Data!D326))</f>
        <v>East</v>
      </c>
      <c r="F326" s="2" t="str">
        <f>PROPER(TRIM(Raw_Data!E326))</f>
        <v>Furniture</v>
      </c>
      <c r="G326" s="2" t="str">
        <f>PROPER(TRIM(Raw_Data!F326))</f>
        <v>Bookshelves</v>
      </c>
      <c r="H326" s="2" t="str">
        <f>Raw_Data!G326</f>
        <v>WoodCraft 5-Tier</v>
      </c>
      <c r="I326" s="2">
        <f>Raw_Data!H326</f>
        <v>2</v>
      </c>
      <c r="J326" s="4">
        <f>Raw_Data!I326</f>
        <v>3395.4</v>
      </c>
      <c r="K326" s="4">
        <f>Raw_Data!J326</f>
        <v>2037.24</v>
      </c>
      <c r="L326" s="5">
        <f>IF(Raw_Data!K326="",0,Raw_Data!K326)</f>
        <v>0</v>
      </c>
      <c r="M326" s="4">
        <f t="shared" si="21"/>
        <v>6790.8</v>
      </c>
      <c r="N326" s="4">
        <f t="shared" si="22"/>
        <v>2716.32</v>
      </c>
      <c r="O326" s="6">
        <f t="shared" si="23"/>
        <v>0.4</v>
      </c>
    </row>
    <row r="327" spans="1:15" ht="15" customHeight="1" x14ac:dyDescent="0.3">
      <c r="A327" s="2">
        <f>Raw_Data!A327</f>
        <v>100326</v>
      </c>
      <c r="B327" s="3">
        <f>DATEVALUE(Raw_Data!B327)</f>
        <v>45406</v>
      </c>
      <c r="C327" s="2" t="str">
        <f t="shared" si="20"/>
        <v>Apr-2024</v>
      </c>
      <c r="D327" s="2" t="str">
        <f>PROPER(TRIM(Raw_Data!C327))</f>
        <v>Kiara Malhotra</v>
      </c>
      <c r="E327" s="2" t="str">
        <f>PROPER(TRIM(Raw_Data!D327))</f>
        <v>East</v>
      </c>
      <c r="F327" s="2" t="str">
        <f>PROPER(TRIM(Raw_Data!E327))</f>
        <v>Office Supplies</v>
      </c>
      <c r="G327" s="2" t="str">
        <f>PROPER(TRIM(Raw_Data!F327))</f>
        <v>Pens</v>
      </c>
      <c r="H327" s="2" t="str">
        <f>Raw_Data!G327</f>
        <v>WriteSmooth Pack10</v>
      </c>
      <c r="I327" s="2">
        <f>Raw_Data!H327</f>
        <v>9</v>
      </c>
      <c r="J327" s="4">
        <f>Raw_Data!I327</f>
        <v>155.69999999999999</v>
      </c>
      <c r="K327" s="4">
        <f>Raw_Data!J327</f>
        <v>70.06</v>
      </c>
      <c r="L327" s="5">
        <f>IF(Raw_Data!K327="",0,Raw_Data!K327)</f>
        <v>0</v>
      </c>
      <c r="M327" s="4">
        <f t="shared" si="21"/>
        <v>1401.3</v>
      </c>
      <c r="N327" s="4">
        <f t="shared" si="22"/>
        <v>770.76</v>
      </c>
      <c r="O327" s="6">
        <f t="shared" si="23"/>
        <v>0.55003211303789334</v>
      </c>
    </row>
    <row r="328" spans="1:15" ht="15" customHeight="1" x14ac:dyDescent="0.3">
      <c r="A328" s="2">
        <f>Raw_Data!A328</f>
        <v>100327</v>
      </c>
      <c r="B328" s="3">
        <f>DATEVALUE(Raw_Data!B328)</f>
        <v>45636</v>
      </c>
      <c r="C328" s="2" t="str">
        <f t="shared" si="20"/>
        <v>Dec-2024</v>
      </c>
      <c r="D328" s="2" t="str">
        <f>PROPER(TRIM(Raw_Data!C328))</f>
        <v>Vikram Mehta</v>
      </c>
      <c r="E328" s="2" t="str">
        <f>PROPER(TRIM(Raw_Data!D328))</f>
        <v>North</v>
      </c>
      <c r="F328" s="2" t="str">
        <f>PROPER(TRIM(Raw_Data!E328))</f>
        <v>Office Supplies</v>
      </c>
      <c r="G328" s="2" t="str">
        <f>PROPER(TRIM(Raw_Data!F328))</f>
        <v>Binders</v>
      </c>
      <c r="H328" s="2" t="str">
        <f>Raw_Data!G328</f>
        <v>RingFile A4</v>
      </c>
      <c r="I328" s="2">
        <f>Raw_Data!H328</f>
        <v>2</v>
      </c>
      <c r="J328" s="4">
        <f>Raw_Data!I328</f>
        <v>183.18</v>
      </c>
      <c r="K328" s="4">
        <f>Raw_Data!J328</f>
        <v>87.93</v>
      </c>
      <c r="L328" s="5">
        <f>IF(Raw_Data!K328="",0,Raw_Data!K328)</f>
        <v>0.15</v>
      </c>
      <c r="M328" s="4">
        <f t="shared" si="21"/>
        <v>311.41000000000003</v>
      </c>
      <c r="N328" s="4">
        <f t="shared" si="22"/>
        <v>135.55000000000001</v>
      </c>
      <c r="O328" s="6">
        <f t="shared" si="23"/>
        <v>0.43527825053787611</v>
      </c>
    </row>
    <row r="329" spans="1:15" ht="15" customHeight="1" x14ac:dyDescent="0.3">
      <c r="A329" s="2">
        <f>Raw_Data!A329</f>
        <v>100328</v>
      </c>
      <c r="B329" s="3">
        <f>DATEVALUE(Raw_Data!B329)</f>
        <v>45552</v>
      </c>
      <c r="C329" s="2" t="str">
        <f t="shared" si="20"/>
        <v>Sep-2024</v>
      </c>
      <c r="D329" s="2" t="str">
        <f>PROPER(TRIM(Raw_Data!C329))</f>
        <v>Sai Shah</v>
      </c>
      <c r="E329" s="2" t="str">
        <f>PROPER(TRIM(Raw_Data!D329))</f>
        <v>North</v>
      </c>
      <c r="F329" s="2" t="str">
        <f>PROPER(TRIM(Raw_Data!E329))</f>
        <v>Office Supplies</v>
      </c>
      <c r="G329" s="2" t="str">
        <f>PROPER(TRIM(Raw_Data!F329))</f>
        <v>Pens</v>
      </c>
      <c r="H329" s="2" t="str">
        <f>Raw_Data!G329</f>
        <v>WriteSmooth Pack10</v>
      </c>
      <c r="I329" s="2">
        <f>Raw_Data!H329</f>
        <v>5</v>
      </c>
      <c r="J329" s="4">
        <f>Raw_Data!I329</f>
        <v>144.72999999999999</v>
      </c>
      <c r="K329" s="4">
        <f>Raw_Data!J329</f>
        <v>65.13</v>
      </c>
      <c r="L329" s="5">
        <f>IF(Raw_Data!K329="",0,Raw_Data!K329)</f>
        <v>0.1</v>
      </c>
      <c r="M329" s="4">
        <f t="shared" si="21"/>
        <v>651.29</v>
      </c>
      <c r="N329" s="4">
        <f t="shared" si="22"/>
        <v>325.64</v>
      </c>
      <c r="O329" s="6">
        <f t="shared" si="23"/>
        <v>0.49999232292834223</v>
      </c>
    </row>
    <row r="330" spans="1:15" ht="15" customHeight="1" x14ac:dyDescent="0.3">
      <c r="A330" s="2">
        <f>Raw_Data!A330</f>
        <v>100329</v>
      </c>
      <c r="B330" s="3">
        <f>DATEVALUE(Raw_Data!B330)</f>
        <v>45598</v>
      </c>
      <c r="C330" s="2" t="str">
        <f t="shared" si="20"/>
        <v>Nov-2024</v>
      </c>
      <c r="D330" s="2" t="str">
        <f>PROPER(TRIM(Raw_Data!C330))</f>
        <v>Myra Verma</v>
      </c>
      <c r="E330" s="2" t="str">
        <f>PROPER(TRIM(Raw_Data!D330))</f>
        <v>North</v>
      </c>
      <c r="F330" s="2" t="str">
        <f>PROPER(TRIM(Raw_Data!E330))</f>
        <v>Office Supplies</v>
      </c>
      <c r="G330" s="2" t="str">
        <f>PROPER(TRIM(Raw_Data!F330))</f>
        <v>Staplers</v>
      </c>
      <c r="H330" s="2" t="str">
        <f>Raw_Data!G330</f>
        <v>HeavyDuty Pro</v>
      </c>
      <c r="I330" s="2">
        <f>Raw_Data!H330</f>
        <v>1</v>
      </c>
      <c r="J330" s="4">
        <f>Raw_Data!I330</f>
        <v>464.12</v>
      </c>
      <c r="K330" s="4">
        <f>Raw_Data!J330</f>
        <v>232.06</v>
      </c>
      <c r="L330" s="5">
        <f>IF(Raw_Data!K330="",0,Raw_Data!K330)</f>
        <v>0.1</v>
      </c>
      <c r="M330" s="4">
        <f t="shared" si="21"/>
        <v>417.71</v>
      </c>
      <c r="N330" s="4">
        <f t="shared" si="22"/>
        <v>185.65</v>
      </c>
      <c r="O330" s="6">
        <f t="shared" si="23"/>
        <v>0.4444471044504561</v>
      </c>
    </row>
    <row r="331" spans="1:15" ht="15" customHeight="1" x14ac:dyDescent="0.3">
      <c r="A331" s="2">
        <f>Raw_Data!A331</f>
        <v>100330</v>
      </c>
      <c r="B331" s="3">
        <f>DATEVALUE(Raw_Data!B331)</f>
        <v>45360</v>
      </c>
      <c r="C331" s="2" t="str">
        <f t="shared" si="20"/>
        <v>Mar-2024</v>
      </c>
      <c r="D331" s="2" t="str">
        <f>PROPER(TRIM(Raw_Data!C331))</f>
        <v>Vikram Patel</v>
      </c>
      <c r="E331" s="2" t="str">
        <f>PROPER(TRIM(Raw_Data!D331))</f>
        <v>West</v>
      </c>
      <c r="F331" s="2" t="str">
        <f>PROPER(TRIM(Raw_Data!E331))</f>
        <v>Office Supplies</v>
      </c>
      <c r="G331" s="2" t="str">
        <f>PROPER(TRIM(Raw_Data!F331))</f>
        <v>Staplers</v>
      </c>
      <c r="H331" s="2" t="str">
        <f>Raw_Data!G331</f>
        <v>HeavyDuty Pro</v>
      </c>
      <c r="I331" s="2">
        <f>Raw_Data!H331</f>
        <v>4</v>
      </c>
      <c r="J331" s="4">
        <f>Raw_Data!I331</f>
        <v>500.48</v>
      </c>
      <c r="K331" s="4">
        <f>Raw_Data!J331</f>
        <v>250.24</v>
      </c>
      <c r="L331" s="5">
        <f>IF(Raw_Data!K331="",0,Raw_Data!K331)</f>
        <v>0.15</v>
      </c>
      <c r="M331" s="4">
        <f t="shared" si="21"/>
        <v>1701.63</v>
      </c>
      <c r="N331" s="4">
        <f t="shared" si="22"/>
        <v>700.67</v>
      </c>
      <c r="O331" s="6">
        <f t="shared" si="23"/>
        <v>0.41176401450374051</v>
      </c>
    </row>
    <row r="332" spans="1:15" ht="15" customHeight="1" x14ac:dyDescent="0.3">
      <c r="A332" s="2">
        <f>Raw_Data!A332</f>
        <v>100331</v>
      </c>
      <c r="B332" s="3" t="e">
        <f>DATEVALUE(Raw_Data!B332)</f>
        <v>#VALUE!</v>
      </c>
      <c r="C332" s="2" t="e">
        <f t="shared" si="20"/>
        <v>#VALUE!</v>
      </c>
      <c r="D332" s="2" t="str">
        <f>PROPER(TRIM(Raw_Data!C332))</f>
        <v>Myra Reddy</v>
      </c>
      <c r="E332" s="2" t="str">
        <f>PROPER(TRIM(Raw_Data!D332))</f>
        <v>West</v>
      </c>
      <c r="F332" s="2" t="str">
        <f>PROPER(TRIM(Raw_Data!E332))</f>
        <v>Clothing</v>
      </c>
      <c r="G332" s="2" t="str">
        <f>PROPER(TRIM(Raw_Data!F332))</f>
        <v>Jackets</v>
      </c>
      <c r="H332" s="2" t="str">
        <f>Raw_Data!G332</f>
        <v>WinterGuard</v>
      </c>
      <c r="I332" s="2">
        <f>Raw_Data!H332</f>
        <v>3</v>
      </c>
      <c r="J332" s="4">
        <f>Raw_Data!I332</f>
        <v>2973.44</v>
      </c>
      <c r="K332" s="4">
        <f>Raw_Data!J332</f>
        <v>1486.72</v>
      </c>
      <c r="L332" s="5">
        <f>IF(Raw_Data!K332="",0,Raw_Data!K332)</f>
        <v>0.1</v>
      </c>
      <c r="M332" s="4">
        <f t="shared" si="21"/>
        <v>8028.29</v>
      </c>
      <c r="N332" s="4">
        <f t="shared" si="22"/>
        <v>3568.13</v>
      </c>
      <c r="O332" s="6">
        <f t="shared" si="23"/>
        <v>0.44444458284391819</v>
      </c>
    </row>
    <row r="333" spans="1:15" ht="15" customHeight="1" x14ac:dyDescent="0.3">
      <c r="A333" s="2">
        <f>Raw_Data!A333</f>
        <v>100332</v>
      </c>
      <c r="B333" s="3">
        <f>DATEVALUE(Raw_Data!B333)</f>
        <v>45463</v>
      </c>
      <c r="C333" s="2" t="str">
        <f t="shared" si="20"/>
        <v>Jun-2024</v>
      </c>
      <c r="D333" s="2" t="str">
        <f>PROPER(TRIM(Raw_Data!C333))</f>
        <v>Pooja Singh</v>
      </c>
      <c r="E333" s="2" t="str">
        <f>PROPER(TRIM(Raw_Data!D333))</f>
        <v>West</v>
      </c>
      <c r="F333" s="2" t="str">
        <f>PROPER(TRIM(Raw_Data!E333))</f>
        <v>Electronics</v>
      </c>
      <c r="G333" s="2" t="str">
        <f>PROPER(TRIM(Raw_Data!F333))</f>
        <v>Monitors</v>
      </c>
      <c r="H333" s="2" t="str">
        <f>Raw_Data!G333</f>
        <v>WideView 27</v>
      </c>
      <c r="I333" s="2">
        <f>Raw_Data!H333</f>
        <v>8</v>
      </c>
      <c r="J333" s="4">
        <f>Raw_Data!I333</f>
        <v>14839.29</v>
      </c>
      <c r="K333" s="4">
        <f>Raw_Data!J333</f>
        <v>8903.58</v>
      </c>
      <c r="L333" s="5">
        <f>IF(Raw_Data!K333="",0,Raw_Data!K333)</f>
        <v>0.05</v>
      </c>
      <c r="M333" s="4">
        <f t="shared" si="21"/>
        <v>112778.6</v>
      </c>
      <c r="N333" s="4">
        <f t="shared" si="22"/>
        <v>41549.96</v>
      </c>
      <c r="O333" s="6">
        <f t="shared" si="23"/>
        <v>0.36842060461825199</v>
      </c>
    </row>
    <row r="334" spans="1:15" ht="15" customHeight="1" x14ac:dyDescent="0.3">
      <c r="A334" s="2">
        <f>Raw_Data!A334</f>
        <v>100333</v>
      </c>
      <c r="B334" s="3">
        <f>DATEVALUE(Raw_Data!B334)</f>
        <v>45517</v>
      </c>
      <c r="C334" s="2" t="str">
        <f t="shared" si="20"/>
        <v>Aug-2024</v>
      </c>
      <c r="D334" s="2" t="str">
        <f>PROPER(TRIM(Raw_Data!C334))</f>
        <v>Diya Iyer</v>
      </c>
      <c r="E334" s="2" t="str">
        <f>PROPER(TRIM(Raw_Data!D334))</f>
        <v>West</v>
      </c>
      <c r="F334" s="2" t="str">
        <f>PROPER(TRIM(Raw_Data!E334))</f>
        <v>Clothing</v>
      </c>
      <c r="G334" s="2" t="str">
        <f>PROPER(TRIM(Raw_Data!F334))</f>
        <v>Bags</v>
      </c>
      <c r="H334" s="2" t="str">
        <f>Raw_Data!G334</f>
        <v>CityCarry Backpack</v>
      </c>
      <c r="I334" s="2">
        <f>Raw_Data!H334</f>
        <v>10</v>
      </c>
      <c r="J334" s="4">
        <f>Raw_Data!I334</f>
        <v>1472.52</v>
      </c>
      <c r="K334" s="4">
        <f>Raw_Data!J334</f>
        <v>736.26</v>
      </c>
      <c r="L334" s="5">
        <f>IF(Raw_Data!K334="",0,Raw_Data!K334)</f>
        <v>0</v>
      </c>
      <c r="M334" s="4">
        <f t="shared" si="21"/>
        <v>14725.2</v>
      </c>
      <c r="N334" s="4">
        <f t="shared" si="22"/>
        <v>7362.6</v>
      </c>
      <c r="O334" s="6">
        <f t="shared" si="23"/>
        <v>0.5</v>
      </c>
    </row>
    <row r="335" spans="1:15" ht="15" customHeight="1" x14ac:dyDescent="0.3">
      <c r="A335" s="2">
        <f>Raw_Data!A335</f>
        <v>100334</v>
      </c>
      <c r="B335" s="3" t="e">
        <f>DATEVALUE(Raw_Data!B335)</f>
        <v>#VALUE!</v>
      </c>
      <c r="C335" s="2" t="e">
        <f t="shared" si="20"/>
        <v>#VALUE!</v>
      </c>
      <c r="D335" s="2" t="str">
        <f>PROPER(TRIM(Raw_Data!C335))</f>
        <v>Diya Shah</v>
      </c>
      <c r="E335" s="2" t="str">
        <f>PROPER(TRIM(Raw_Data!D335))</f>
        <v>South</v>
      </c>
      <c r="F335" s="2" t="str">
        <f>PROPER(TRIM(Raw_Data!E335))</f>
        <v>Furniture</v>
      </c>
      <c r="G335" s="2" t="str">
        <f>PROPER(TRIM(Raw_Data!F335))</f>
        <v>Chairs</v>
      </c>
      <c r="H335" s="2" t="str">
        <f>Raw_Data!G335</f>
        <v>MeshFlex Pro</v>
      </c>
      <c r="I335" s="2">
        <f>Raw_Data!H335</f>
        <v>12</v>
      </c>
      <c r="J335" s="4">
        <f>Raw_Data!I335</f>
        <v>7274.98</v>
      </c>
      <c r="K335" s="4">
        <f>Raw_Data!J335</f>
        <v>4510.4799999999996</v>
      </c>
      <c r="L335" s="5">
        <f>IF(Raw_Data!K335="",0,Raw_Data!K335)</f>
        <v>0.1</v>
      </c>
      <c r="M335" s="4">
        <f t="shared" si="21"/>
        <v>78569.78</v>
      </c>
      <c r="N335" s="4">
        <f t="shared" si="22"/>
        <v>24444.02</v>
      </c>
      <c r="O335" s="6">
        <f t="shared" si="23"/>
        <v>0.31111223679129557</v>
      </c>
    </row>
    <row r="336" spans="1:15" ht="15" customHeight="1" x14ac:dyDescent="0.3">
      <c r="A336" s="2">
        <f>Raw_Data!A336</f>
        <v>100335</v>
      </c>
      <c r="B336" s="3">
        <f>DATEVALUE(Raw_Data!B336)</f>
        <v>45594</v>
      </c>
      <c r="C336" s="2" t="str">
        <f t="shared" si="20"/>
        <v>Oct-2024</v>
      </c>
      <c r="D336" s="2" t="str">
        <f>PROPER(TRIM(Raw_Data!C336))</f>
        <v>Aman Patel</v>
      </c>
      <c r="E336" s="2" t="str">
        <f>PROPER(TRIM(Raw_Data!D336))</f>
        <v>West</v>
      </c>
      <c r="F336" s="2" t="str">
        <f>PROPER(TRIM(Raw_Data!E336))</f>
        <v>Office Supplies</v>
      </c>
      <c r="G336" s="2" t="str">
        <f>PROPER(TRIM(Raw_Data!F336))</f>
        <v>Binders</v>
      </c>
      <c r="H336" s="2" t="str">
        <f>Raw_Data!G336</f>
        <v>RingFile A4</v>
      </c>
      <c r="I336" s="2">
        <f>Raw_Data!H336</f>
        <v>2</v>
      </c>
      <c r="J336" s="4">
        <f>Raw_Data!I336</f>
        <v>176.09</v>
      </c>
      <c r="K336" s="4">
        <f>Raw_Data!J336</f>
        <v>84.52</v>
      </c>
      <c r="L336" s="5">
        <f>IF(Raw_Data!K336="",0,Raw_Data!K336)</f>
        <v>0</v>
      </c>
      <c r="M336" s="4">
        <f t="shared" si="21"/>
        <v>352.18</v>
      </c>
      <c r="N336" s="4">
        <f t="shared" si="22"/>
        <v>183.14</v>
      </c>
      <c r="O336" s="6">
        <f t="shared" si="23"/>
        <v>0.52001817252541305</v>
      </c>
    </row>
    <row r="337" spans="1:15" ht="15" customHeight="1" x14ac:dyDescent="0.3">
      <c r="A337" s="2">
        <f>Raw_Data!A337</f>
        <v>100336</v>
      </c>
      <c r="B337" s="3">
        <f>DATEVALUE(Raw_Data!B337)</f>
        <v>45341</v>
      </c>
      <c r="C337" s="2" t="str">
        <f t="shared" si="20"/>
        <v>Feb-2024</v>
      </c>
      <c r="D337" s="2" t="str">
        <f>PROPER(TRIM(Raw_Data!C337))</f>
        <v>Sneha Pillai</v>
      </c>
      <c r="E337" s="2" t="str">
        <f>PROPER(TRIM(Raw_Data!D337))</f>
        <v>East</v>
      </c>
      <c r="F337" s="2" t="str">
        <f>PROPER(TRIM(Raw_Data!E337))</f>
        <v>Office Supplies</v>
      </c>
      <c r="G337" s="2" t="str">
        <f>PROPER(TRIM(Raw_Data!F337))</f>
        <v>Staplers</v>
      </c>
      <c r="H337" s="2" t="str">
        <f>Raw_Data!G337</f>
        <v>HeavyDuty Pro</v>
      </c>
      <c r="I337" s="2">
        <f>Raw_Data!H337</f>
        <v>12</v>
      </c>
      <c r="J337" s="4">
        <f>Raw_Data!I337</f>
        <v>517.30999999999995</v>
      </c>
      <c r="K337" s="4">
        <f>Raw_Data!J337</f>
        <v>258.66000000000003</v>
      </c>
      <c r="L337" s="5">
        <f>IF(Raw_Data!K337="",0,Raw_Data!K337)</f>
        <v>0.05</v>
      </c>
      <c r="M337" s="4">
        <f t="shared" si="21"/>
        <v>5897.33</v>
      </c>
      <c r="N337" s="4">
        <f t="shared" si="22"/>
        <v>2793.41</v>
      </c>
      <c r="O337" s="6">
        <f t="shared" si="23"/>
        <v>0.47367367944476568</v>
      </c>
    </row>
    <row r="338" spans="1:15" ht="15" customHeight="1" x14ac:dyDescent="0.3">
      <c r="A338" s="2">
        <f>Raw_Data!A338</f>
        <v>100337</v>
      </c>
      <c r="B338" s="3" t="e">
        <f>DATEVALUE(Raw_Data!B338)</f>
        <v>#VALUE!</v>
      </c>
      <c r="C338" s="2" t="e">
        <f t="shared" si="20"/>
        <v>#VALUE!</v>
      </c>
      <c r="D338" s="2" t="str">
        <f>PROPER(TRIM(Raw_Data!C338))</f>
        <v>Karan Malhotra</v>
      </c>
      <c r="E338" s="2" t="str">
        <f>PROPER(TRIM(Raw_Data!D338))</f>
        <v>East</v>
      </c>
      <c r="F338" s="2" t="str">
        <f>PROPER(TRIM(Raw_Data!E338))</f>
        <v>Electronics</v>
      </c>
      <c r="G338" s="2" t="str">
        <f>PROPER(TRIM(Raw_Data!F338))</f>
        <v>Monitors</v>
      </c>
      <c r="H338" s="2" t="str">
        <f>Raw_Data!G338</f>
        <v>ViewClear 24</v>
      </c>
      <c r="I338" s="2">
        <f>Raw_Data!H338</f>
        <v>4</v>
      </c>
      <c r="J338" s="4">
        <f>Raw_Data!I338</f>
        <v>9558.17</v>
      </c>
      <c r="K338" s="4">
        <f>Raw_Data!J338</f>
        <v>5926.06</v>
      </c>
      <c r="L338" s="5">
        <f>IF(Raw_Data!K338="",0,Raw_Data!K338)</f>
        <v>0.1</v>
      </c>
      <c r="M338" s="4">
        <f t="shared" si="21"/>
        <v>34409.410000000003</v>
      </c>
      <c r="N338" s="4">
        <f t="shared" si="22"/>
        <v>10705.17</v>
      </c>
      <c r="O338" s="6">
        <f t="shared" si="23"/>
        <v>0.31111169880564643</v>
      </c>
    </row>
    <row r="339" spans="1:15" ht="15" customHeight="1" x14ac:dyDescent="0.3">
      <c r="A339" s="2">
        <f>Raw_Data!A339</f>
        <v>100338</v>
      </c>
      <c r="B339" s="3">
        <f>DATEVALUE(Raw_Data!B339)</f>
        <v>45343</v>
      </c>
      <c r="C339" s="2" t="str">
        <f t="shared" si="20"/>
        <v>Feb-2024</v>
      </c>
      <c r="D339" s="2" t="str">
        <f>PROPER(TRIM(Raw_Data!C339))</f>
        <v>Kabir Das</v>
      </c>
      <c r="E339" s="2" t="str">
        <f>PROPER(TRIM(Raw_Data!D339))</f>
        <v>East</v>
      </c>
      <c r="F339" s="2" t="str">
        <f>PROPER(TRIM(Raw_Data!E339))</f>
        <v>Clothing</v>
      </c>
      <c r="G339" s="2" t="str">
        <f>PROPER(TRIM(Raw_Data!F339))</f>
        <v>Jackets</v>
      </c>
      <c r="H339" s="2" t="str">
        <f>Raw_Data!G339</f>
        <v>RainShield Pro</v>
      </c>
      <c r="I339" s="2">
        <f>Raw_Data!H339</f>
        <v>11</v>
      </c>
      <c r="J339" s="4">
        <f>Raw_Data!I339</f>
        <v>2125.91</v>
      </c>
      <c r="K339" s="4">
        <f>Raw_Data!J339</f>
        <v>1062.95</v>
      </c>
      <c r="L339" s="5">
        <f>IF(Raw_Data!K339="",0,Raw_Data!K339)</f>
        <v>0</v>
      </c>
      <c r="M339" s="4">
        <f t="shared" si="21"/>
        <v>23385.01</v>
      </c>
      <c r="N339" s="4">
        <f t="shared" si="22"/>
        <v>11692.56</v>
      </c>
      <c r="O339" s="6">
        <f t="shared" si="23"/>
        <v>0.50000235193399534</v>
      </c>
    </row>
    <row r="340" spans="1:15" ht="15" customHeight="1" x14ac:dyDescent="0.3">
      <c r="A340" s="2">
        <f>Raw_Data!A340</f>
        <v>100339</v>
      </c>
      <c r="B340" s="3">
        <f>DATEVALUE(Raw_Data!B340)</f>
        <v>45451</v>
      </c>
      <c r="C340" s="2" t="str">
        <f t="shared" si="20"/>
        <v>Jun-2024</v>
      </c>
      <c r="D340" s="2" t="str">
        <f>PROPER(TRIM(Raw_Data!C340))</f>
        <v>Aadhya Bhatt</v>
      </c>
      <c r="E340" s="2" t="str">
        <f>PROPER(TRIM(Raw_Data!D340))</f>
        <v>West</v>
      </c>
      <c r="F340" s="2" t="str">
        <f>PROPER(TRIM(Raw_Data!E340))</f>
        <v>Furniture</v>
      </c>
      <c r="G340" s="2" t="str">
        <f>PROPER(TRIM(Raw_Data!F340))</f>
        <v>Cabinets</v>
      </c>
      <c r="H340" s="2" t="str">
        <f>Raw_Data!G340</f>
        <v>StorageMax Wood</v>
      </c>
      <c r="I340" s="2">
        <f>Raw_Data!H340</f>
        <v>9</v>
      </c>
      <c r="J340" s="4">
        <f>Raw_Data!I340</f>
        <v>4966.0600000000004</v>
      </c>
      <c r="K340" s="4">
        <f>Raw_Data!J340</f>
        <v>3128.62</v>
      </c>
      <c r="L340" s="5">
        <f>IF(Raw_Data!K340="",0,Raw_Data!K340)</f>
        <v>0</v>
      </c>
      <c r="M340" s="4">
        <f t="shared" si="21"/>
        <v>44694.54</v>
      </c>
      <c r="N340" s="4">
        <f t="shared" si="22"/>
        <v>16536.96</v>
      </c>
      <c r="O340" s="6">
        <f t="shared" si="23"/>
        <v>0.36999955699286757</v>
      </c>
    </row>
    <row r="341" spans="1:15" ht="15" customHeight="1" x14ac:dyDescent="0.3">
      <c r="A341" s="2">
        <f>Raw_Data!A341</f>
        <v>100340</v>
      </c>
      <c r="B341" s="3">
        <f>DATEVALUE(Raw_Data!B341)</f>
        <v>45581</v>
      </c>
      <c r="C341" s="2" t="str">
        <f t="shared" si="20"/>
        <v>Oct-2024</v>
      </c>
      <c r="D341" s="2" t="str">
        <f>PROPER(TRIM(Raw_Data!C341))</f>
        <v>Kabir Pillai</v>
      </c>
      <c r="E341" s="2" t="str">
        <f>PROPER(TRIM(Raw_Data!D341))</f>
        <v>East</v>
      </c>
      <c r="F341" s="2" t="str">
        <f>PROPER(TRIM(Raw_Data!E341))</f>
        <v>Electronics</v>
      </c>
      <c r="G341" s="2" t="str">
        <f>PROPER(TRIM(Raw_Data!F341))</f>
        <v>Laptops</v>
      </c>
      <c r="H341" s="2" t="str">
        <f>Raw_Data!G341</f>
        <v>EcoBook Air</v>
      </c>
      <c r="I341" s="2">
        <f>Raw_Data!H341</f>
        <v>8</v>
      </c>
      <c r="J341" s="4">
        <f>Raw_Data!I341</f>
        <v>39582.120000000003</v>
      </c>
      <c r="K341" s="4">
        <f>Raw_Data!J341</f>
        <v>26915.84</v>
      </c>
      <c r="L341" s="5">
        <f>IF(Raw_Data!K341="",0,Raw_Data!K341)</f>
        <v>0</v>
      </c>
      <c r="M341" s="4">
        <f t="shared" si="21"/>
        <v>316656.96000000002</v>
      </c>
      <c r="N341" s="4">
        <f t="shared" si="22"/>
        <v>101330.24000000001</v>
      </c>
      <c r="O341" s="6">
        <f t="shared" si="23"/>
        <v>0.32000004042229169</v>
      </c>
    </row>
    <row r="342" spans="1:15" ht="15" customHeight="1" x14ac:dyDescent="0.3">
      <c r="A342" s="2">
        <f>Raw_Data!A342</f>
        <v>100341</v>
      </c>
      <c r="B342" s="3">
        <f>DATEVALUE(Raw_Data!B342)</f>
        <v>45575</v>
      </c>
      <c r="C342" s="2" t="str">
        <f t="shared" si="20"/>
        <v>Oct-2024</v>
      </c>
      <c r="D342" s="2" t="str">
        <f>PROPER(TRIM(Raw_Data!C342))</f>
        <v>Pranav Kapoor</v>
      </c>
      <c r="E342" s="2" t="str">
        <f>PROPER(TRIM(Raw_Data!D342))</f>
        <v>North</v>
      </c>
      <c r="F342" s="2" t="str">
        <f>PROPER(TRIM(Raw_Data!E342))</f>
        <v>Furniture</v>
      </c>
      <c r="G342" s="2" t="str">
        <f>PROPER(TRIM(Raw_Data!F342))</f>
        <v>Cabinets</v>
      </c>
      <c r="H342" s="2" t="str">
        <f>Raw_Data!G342</f>
        <v>FileSafe Steel</v>
      </c>
      <c r="I342" s="2">
        <f>Raw_Data!H342</f>
        <v>11</v>
      </c>
      <c r="J342" s="4">
        <f>Raw_Data!I342</f>
        <v>5781.32</v>
      </c>
      <c r="K342" s="4">
        <f>Raw_Data!J342</f>
        <v>3468.79</v>
      </c>
      <c r="L342" s="5">
        <f>IF(Raw_Data!K342="",0,Raw_Data!K342)</f>
        <v>0.2</v>
      </c>
      <c r="M342" s="4">
        <f t="shared" si="21"/>
        <v>50875.62</v>
      </c>
      <c r="N342" s="4">
        <f t="shared" si="22"/>
        <v>12718.93</v>
      </c>
      <c r="O342" s="6">
        <f t="shared" si="23"/>
        <v>0.25000049139450292</v>
      </c>
    </row>
    <row r="343" spans="1:15" ht="15" customHeight="1" x14ac:dyDescent="0.3">
      <c r="A343" s="2">
        <f>Raw_Data!A343</f>
        <v>100342</v>
      </c>
      <c r="B343" s="3">
        <f>DATEVALUE(Raw_Data!B343)</f>
        <v>45577</v>
      </c>
      <c r="C343" s="2" t="str">
        <f t="shared" si="20"/>
        <v>Oct-2024</v>
      </c>
      <c r="D343" s="2" t="str">
        <f>PROPER(TRIM(Raw_Data!C343))</f>
        <v>Vivaan Das</v>
      </c>
      <c r="E343" s="2" t="str">
        <f>PROPER(TRIM(Raw_Data!D343))</f>
        <v>East</v>
      </c>
      <c r="F343" s="2" t="str">
        <f>PROPER(TRIM(Raw_Data!E343))</f>
        <v>Office Supplies</v>
      </c>
      <c r="G343" s="2" t="str">
        <f>PROPER(TRIM(Raw_Data!F343))</f>
        <v>Staplers</v>
      </c>
      <c r="H343" s="2" t="str">
        <f>Raw_Data!G343</f>
        <v>ClickFix Standard</v>
      </c>
      <c r="I343" s="2">
        <f>Raw_Data!H343</f>
        <v>1</v>
      </c>
      <c r="J343" s="4">
        <f>Raw_Data!I343</f>
        <v>228.88</v>
      </c>
      <c r="K343" s="4">
        <f>Raw_Data!J343</f>
        <v>114.44</v>
      </c>
      <c r="L343" s="5">
        <f>IF(Raw_Data!K343="",0,Raw_Data!K343)</f>
        <v>0.1</v>
      </c>
      <c r="M343" s="4">
        <f t="shared" si="21"/>
        <v>205.99</v>
      </c>
      <c r="N343" s="4">
        <f t="shared" si="22"/>
        <v>91.55</v>
      </c>
      <c r="O343" s="6">
        <f t="shared" si="23"/>
        <v>0.44443905043934168</v>
      </c>
    </row>
    <row r="344" spans="1:15" ht="15" customHeight="1" x14ac:dyDescent="0.3">
      <c r="A344" s="2">
        <f>Raw_Data!A344</f>
        <v>100343</v>
      </c>
      <c r="B344" s="3">
        <f>DATEVALUE(Raw_Data!B344)</f>
        <v>45417</v>
      </c>
      <c r="C344" s="2" t="str">
        <f t="shared" si="20"/>
        <v>May-2024</v>
      </c>
      <c r="D344" s="2" t="str">
        <f>PROPER(TRIM(Raw_Data!C344))</f>
        <v>Riya Joshi</v>
      </c>
      <c r="E344" s="2" t="str">
        <f>PROPER(TRIM(Raw_Data!D344))</f>
        <v>West</v>
      </c>
      <c r="F344" s="2" t="str">
        <f>PROPER(TRIM(Raw_Data!E344))</f>
        <v>Electronics</v>
      </c>
      <c r="G344" s="2" t="str">
        <f>PROPER(TRIM(Raw_Data!F344))</f>
        <v>Headphones</v>
      </c>
      <c r="H344" s="2" t="str">
        <f>Raw_Data!G344</f>
        <v>StudioFit</v>
      </c>
      <c r="I344" s="2">
        <f>Raw_Data!H344</f>
        <v>2</v>
      </c>
      <c r="J344" s="4">
        <f>Raw_Data!I344</f>
        <v>3394.2</v>
      </c>
      <c r="K344" s="4">
        <f>Raw_Data!J344</f>
        <v>1697.1</v>
      </c>
      <c r="L344" s="5">
        <f>IF(Raw_Data!K344="",0,Raw_Data!K344)</f>
        <v>0</v>
      </c>
      <c r="M344" s="4">
        <f t="shared" si="21"/>
        <v>6788.4</v>
      </c>
      <c r="N344" s="4">
        <f t="shared" si="22"/>
        <v>3394.2</v>
      </c>
      <c r="O344" s="6">
        <f t="shared" si="23"/>
        <v>0.5</v>
      </c>
    </row>
    <row r="345" spans="1:15" ht="15" customHeight="1" x14ac:dyDescent="0.3">
      <c r="A345" s="2">
        <f>Raw_Data!A345</f>
        <v>100344</v>
      </c>
      <c r="B345" s="3">
        <f>DATEVALUE(Raw_Data!B345)</f>
        <v>45302</v>
      </c>
      <c r="C345" s="2" t="str">
        <f t="shared" si="20"/>
        <v>Jan-2024</v>
      </c>
      <c r="D345" s="2" t="str">
        <f>PROPER(TRIM(Raw_Data!C345))</f>
        <v>Kabir Bhatt</v>
      </c>
      <c r="E345" s="2" t="str">
        <f>PROPER(TRIM(Raw_Data!D345))</f>
        <v>South</v>
      </c>
      <c r="F345" s="2" t="str">
        <f>PROPER(TRIM(Raw_Data!E345))</f>
        <v>Office Supplies</v>
      </c>
      <c r="G345" s="2" t="str">
        <f>PROPER(TRIM(Raw_Data!F345))</f>
        <v>Pens</v>
      </c>
      <c r="H345" s="2" t="str">
        <f>Raw_Data!G345</f>
        <v>InkFlow Gel Pack5</v>
      </c>
      <c r="I345" s="2">
        <f>Raw_Data!H345</f>
        <v>3</v>
      </c>
      <c r="J345" s="4">
        <f>Raw_Data!I345</f>
        <v>126.47</v>
      </c>
      <c r="K345" s="4">
        <f>Raw_Data!J345</f>
        <v>56.91</v>
      </c>
      <c r="L345" s="5">
        <f>IF(Raw_Data!K345="",0,Raw_Data!K345)</f>
        <v>0.2</v>
      </c>
      <c r="M345" s="4">
        <f t="shared" si="21"/>
        <v>303.52999999999997</v>
      </c>
      <c r="N345" s="4">
        <f t="shared" si="22"/>
        <v>132.80000000000001</v>
      </c>
      <c r="O345" s="6">
        <f t="shared" si="23"/>
        <v>0.43751853194082962</v>
      </c>
    </row>
    <row r="346" spans="1:15" ht="15" customHeight="1" x14ac:dyDescent="0.3">
      <c r="A346" s="2">
        <f>Raw_Data!A346</f>
        <v>100345</v>
      </c>
      <c r="B346" s="3">
        <f>DATEVALUE(Raw_Data!B346)</f>
        <v>45605</v>
      </c>
      <c r="C346" s="2" t="str">
        <f t="shared" si="20"/>
        <v>Nov-2024</v>
      </c>
      <c r="D346" s="2" t="str">
        <f>PROPER(TRIM(Raw_Data!C346))</f>
        <v>Vivaan Reddy</v>
      </c>
      <c r="E346" s="2" t="str">
        <f>PROPER(TRIM(Raw_Data!D346))</f>
        <v>West</v>
      </c>
      <c r="F346" s="2" t="str">
        <f>PROPER(TRIM(Raw_Data!E346))</f>
        <v>Furniture</v>
      </c>
      <c r="G346" s="2" t="str">
        <f>PROPER(TRIM(Raw_Data!F346))</f>
        <v>Desks</v>
      </c>
      <c r="H346" s="2" t="str">
        <f>Raw_Data!G346</f>
        <v>CompactWork</v>
      </c>
      <c r="I346" s="2">
        <f>Raw_Data!H346</f>
        <v>12</v>
      </c>
      <c r="J346" s="4">
        <f>Raw_Data!I346</f>
        <v>4343.7</v>
      </c>
      <c r="K346" s="4">
        <f>Raw_Data!J346</f>
        <v>2823.4</v>
      </c>
      <c r="L346" s="5">
        <f>IF(Raw_Data!K346="",0,Raw_Data!K346)</f>
        <v>0</v>
      </c>
      <c r="M346" s="4">
        <f t="shared" si="21"/>
        <v>52124.4</v>
      </c>
      <c r="N346" s="4">
        <f t="shared" si="22"/>
        <v>18243.599999999999</v>
      </c>
      <c r="O346" s="6">
        <f t="shared" si="23"/>
        <v>0.35000115109238666</v>
      </c>
    </row>
    <row r="347" spans="1:15" ht="15" customHeight="1" x14ac:dyDescent="0.3">
      <c r="A347" s="2">
        <f>Raw_Data!A347</f>
        <v>100346</v>
      </c>
      <c r="B347" s="3" t="e">
        <f>DATEVALUE(Raw_Data!B347)</f>
        <v>#VALUE!</v>
      </c>
      <c r="C347" s="2" t="e">
        <f t="shared" si="20"/>
        <v>#VALUE!</v>
      </c>
      <c r="D347" s="2" t="str">
        <f>PROPER(TRIM(Raw_Data!C347))</f>
        <v>Myra Kapoor</v>
      </c>
      <c r="E347" s="2" t="str">
        <f>PROPER(TRIM(Raw_Data!D347))</f>
        <v>West</v>
      </c>
      <c r="F347" s="2" t="str">
        <f>PROPER(TRIM(Raw_Data!E347))</f>
        <v>Clothing</v>
      </c>
      <c r="G347" s="2" t="str">
        <f>PROPER(TRIM(Raw_Data!F347))</f>
        <v>Shoes</v>
      </c>
      <c r="H347" s="2" t="str">
        <f>Raw_Data!G347</f>
        <v>WalkEase Casual</v>
      </c>
      <c r="I347" s="2">
        <f>Raw_Data!H347</f>
        <v>9</v>
      </c>
      <c r="J347" s="4">
        <f>Raw_Data!I347</f>
        <v>2019.96</v>
      </c>
      <c r="K347" s="4">
        <f>Raw_Data!J347</f>
        <v>1009.98</v>
      </c>
      <c r="L347" s="5">
        <f>IF(Raw_Data!K347="",0,Raw_Data!K347)</f>
        <v>0</v>
      </c>
      <c r="M347" s="4">
        <f t="shared" si="21"/>
        <v>18179.64</v>
      </c>
      <c r="N347" s="4">
        <f t="shared" si="22"/>
        <v>9089.82</v>
      </c>
      <c r="O347" s="6">
        <f t="shared" si="23"/>
        <v>0.5</v>
      </c>
    </row>
    <row r="348" spans="1:15" ht="15" customHeight="1" x14ac:dyDescent="0.3">
      <c r="A348" s="2">
        <f>Raw_Data!A348</f>
        <v>100347</v>
      </c>
      <c r="B348" s="3" t="e">
        <f>DATEVALUE(Raw_Data!B348)</f>
        <v>#VALUE!</v>
      </c>
      <c r="C348" s="2" t="e">
        <f t="shared" si="20"/>
        <v>#VALUE!</v>
      </c>
      <c r="D348" s="2" t="str">
        <f>PROPER(TRIM(Raw_Data!C348))</f>
        <v>Kiara Nair</v>
      </c>
      <c r="E348" s="2" t="str">
        <f>PROPER(TRIM(Raw_Data!D348))</f>
        <v>West</v>
      </c>
      <c r="F348" s="2" t="str">
        <f>PROPER(TRIM(Raw_Data!E348))</f>
        <v>Office Supplies</v>
      </c>
      <c r="G348" s="2" t="str">
        <f>PROPER(TRIM(Raw_Data!F348))</f>
        <v>Staplers</v>
      </c>
      <c r="H348" s="2" t="str">
        <f>Raw_Data!G348</f>
        <v>HeavyDuty Pro</v>
      </c>
      <c r="I348" s="2">
        <f>Raw_Data!H348</f>
        <v>5</v>
      </c>
      <c r="J348" s="4">
        <f>Raw_Data!I348</f>
        <v>506.06</v>
      </c>
      <c r="K348" s="4">
        <f>Raw_Data!J348</f>
        <v>253.03</v>
      </c>
      <c r="L348" s="5">
        <f>IF(Raw_Data!K348="",0,Raw_Data!K348)</f>
        <v>0.05</v>
      </c>
      <c r="M348" s="4">
        <f t="shared" si="21"/>
        <v>2403.79</v>
      </c>
      <c r="N348" s="4">
        <f t="shared" si="22"/>
        <v>1138.6400000000001</v>
      </c>
      <c r="O348" s="6">
        <f t="shared" si="23"/>
        <v>0.4736853052887316</v>
      </c>
    </row>
    <row r="349" spans="1:15" ht="15" customHeight="1" x14ac:dyDescent="0.3">
      <c r="A349" s="2">
        <f>Raw_Data!A349</f>
        <v>100348</v>
      </c>
      <c r="B349" s="3" t="e">
        <f>DATEVALUE(Raw_Data!B349)</f>
        <v>#VALUE!</v>
      </c>
      <c r="C349" s="2" t="e">
        <f t="shared" si="20"/>
        <v>#VALUE!</v>
      </c>
      <c r="D349" s="2" t="str">
        <f>PROPER(TRIM(Raw_Data!C349))</f>
        <v>Arjun Mehta</v>
      </c>
      <c r="E349" s="2" t="str">
        <f>PROPER(TRIM(Raw_Data!D349))</f>
        <v>North</v>
      </c>
      <c r="F349" s="2" t="str">
        <f>PROPER(TRIM(Raw_Data!E349))</f>
        <v>Electronics</v>
      </c>
      <c r="G349" s="2" t="str">
        <f>PROPER(TRIM(Raw_Data!F349))</f>
        <v>Laptops</v>
      </c>
      <c r="H349" s="2" t="str">
        <f>Raw_Data!G349</f>
        <v>ProBook 14</v>
      </c>
      <c r="I349" s="2">
        <f>Raw_Data!H349</f>
        <v>7</v>
      </c>
      <c r="J349" s="4">
        <f>Raw_Data!I349</f>
        <v>43321.54</v>
      </c>
      <c r="K349" s="4">
        <f>Raw_Data!J349</f>
        <v>28159</v>
      </c>
      <c r="L349" s="5">
        <f>IF(Raw_Data!K349="",0,Raw_Data!K349)</f>
        <v>0</v>
      </c>
      <c r="M349" s="4">
        <f t="shared" si="21"/>
        <v>303250.78000000003</v>
      </c>
      <c r="N349" s="4">
        <f t="shared" si="22"/>
        <v>106137.78</v>
      </c>
      <c r="O349" s="6">
        <f t="shared" si="23"/>
        <v>0.35000002308320521</v>
      </c>
    </row>
    <row r="350" spans="1:15" ht="15" customHeight="1" x14ac:dyDescent="0.3">
      <c r="A350" s="2">
        <f>Raw_Data!A350</f>
        <v>100349</v>
      </c>
      <c r="B350" s="3">
        <f>DATEVALUE(Raw_Data!B350)</f>
        <v>45615</v>
      </c>
      <c r="C350" s="2" t="str">
        <f t="shared" si="20"/>
        <v>Nov-2024</v>
      </c>
      <c r="D350" s="2" t="str">
        <f>PROPER(TRIM(Raw_Data!C350))</f>
        <v>Pranav Singh</v>
      </c>
      <c r="E350" s="2" t="str">
        <f>PROPER(TRIM(Raw_Data!D350))</f>
        <v>South</v>
      </c>
      <c r="F350" s="2" t="str">
        <f>PROPER(TRIM(Raw_Data!E350))</f>
        <v>Electronics</v>
      </c>
      <c r="G350" s="2" t="str">
        <f>PROPER(TRIM(Raw_Data!F350))</f>
        <v>Laptops</v>
      </c>
      <c r="H350" s="2" t="str">
        <f>Raw_Data!G350</f>
        <v>ProBook 14</v>
      </c>
      <c r="I350" s="2">
        <f>Raw_Data!H350</f>
        <v>10</v>
      </c>
      <c r="J350" s="4">
        <f>Raw_Data!I350</f>
        <v>43509.96</v>
      </c>
      <c r="K350" s="4">
        <f>Raw_Data!J350</f>
        <v>28281.47</v>
      </c>
      <c r="L350" s="5">
        <f>IF(Raw_Data!K350="",0,Raw_Data!K350)</f>
        <v>0.15</v>
      </c>
      <c r="M350" s="4">
        <f t="shared" si="21"/>
        <v>369834.66</v>
      </c>
      <c r="N350" s="4">
        <f t="shared" si="22"/>
        <v>87019.96</v>
      </c>
      <c r="O350" s="6">
        <f t="shared" si="23"/>
        <v>0.23529422580349829</v>
      </c>
    </row>
    <row r="351" spans="1:15" ht="15" customHeight="1" x14ac:dyDescent="0.3">
      <c r="A351" s="2">
        <f>Raw_Data!A351</f>
        <v>100350</v>
      </c>
      <c r="B351" s="3" t="e">
        <f>DATEVALUE(Raw_Data!B351)</f>
        <v>#VALUE!</v>
      </c>
      <c r="C351" s="2" t="e">
        <f t="shared" si="20"/>
        <v>#VALUE!</v>
      </c>
      <c r="D351" s="2" t="str">
        <f>PROPER(TRIM(Raw_Data!C351))</f>
        <v>Diya Verma</v>
      </c>
      <c r="E351" s="2" t="str">
        <f>PROPER(TRIM(Raw_Data!D351))</f>
        <v>East</v>
      </c>
      <c r="F351" s="2" t="str">
        <f>PROPER(TRIM(Raw_Data!E351))</f>
        <v>Clothing</v>
      </c>
      <c r="G351" s="2" t="str">
        <f>PROPER(TRIM(Raw_Data!F351))</f>
        <v>Shoes</v>
      </c>
      <c r="H351" s="2" t="str">
        <f>Raw_Data!G351</f>
        <v>RunFast Sport</v>
      </c>
      <c r="I351" s="2">
        <f>Raw_Data!H351</f>
        <v>3</v>
      </c>
      <c r="J351" s="4">
        <f>Raw_Data!I351</f>
        <v>2733.89</v>
      </c>
      <c r="K351" s="4">
        <f>Raw_Data!J351</f>
        <v>1312.27</v>
      </c>
      <c r="L351" s="5">
        <f>IF(Raw_Data!K351="",0,Raw_Data!K351)</f>
        <v>0.05</v>
      </c>
      <c r="M351" s="4">
        <f t="shared" si="21"/>
        <v>7791.59</v>
      </c>
      <c r="N351" s="4">
        <f t="shared" si="22"/>
        <v>3854.78</v>
      </c>
      <c r="O351" s="6">
        <f t="shared" si="23"/>
        <v>0.49473599098515197</v>
      </c>
    </row>
    <row r="352" spans="1:15" ht="15" customHeight="1" x14ac:dyDescent="0.3">
      <c r="A352" s="2">
        <f>Raw_Data!A352</f>
        <v>100351</v>
      </c>
      <c r="B352" s="3">
        <f>DATEVALUE(Raw_Data!B352)</f>
        <v>45402</v>
      </c>
      <c r="C352" s="2" t="str">
        <f t="shared" si="20"/>
        <v>Apr-2024</v>
      </c>
      <c r="D352" s="2" t="str">
        <f>PROPER(TRIM(Raw_Data!C352))</f>
        <v>Meera Bose</v>
      </c>
      <c r="E352" s="2" t="str">
        <f>PROPER(TRIM(Raw_Data!D352))</f>
        <v>West</v>
      </c>
      <c r="F352" s="2" t="str">
        <f>PROPER(TRIM(Raw_Data!E352))</f>
        <v>Furniture</v>
      </c>
      <c r="G352" s="2" t="str">
        <f>PROPER(TRIM(Raw_Data!F352))</f>
        <v>Cabinets</v>
      </c>
      <c r="H352" s="2" t="str">
        <f>Raw_Data!G352</f>
        <v>FileSafe Steel</v>
      </c>
      <c r="I352" s="2">
        <f>Raw_Data!H352</f>
        <v>3</v>
      </c>
      <c r="J352" s="4">
        <f>Raw_Data!I352</f>
        <v>5713.58</v>
      </c>
      <c r="K352" s="4">
        <f>Raw_Data!J352</f>
        <v>3428.15</v>
      </c>
      <c r="L352" s="5">
        <f>IF(Raw_Data!K352="",0,Raw_Data!K352)</f>
        <v>0.1</v>
      </c>
      <c r="M352" s="4">
        <f t="shared" si="21"/>
        <v>15426.67</v>
      </c>
      <c r="N352" s="4">
        <f t="shared" si="22"/>
        <v>5142.22</v>
      </c>
      <c r="O352" s="6">
        <f t="shared" si="23"/>
        <v>0.33333311725732129</v>
      </c>
    </row>
    <row r="353" spans="1:15" ht="15" customHeight="1" x14ac:dyDescent="0.3">
      <c r="A353" s="2">
        <f>Raw_Data!A353</f>
        <v>100352</v>
      </c>
      <c r="B353" s="3">
        <f>DATEVALUE(Raw_Data!B353)</f>
        <v>45608</v>
      </c>
      <c r="C353" s="2" t="str">
        <f t="shared" si="20"/>
        <v>Nov-2024</v>
      </c>
      <c r="D353" s="2" t="str">
        <f>PROPER(TRIM(Raw_Data!C353))</f>
        <v>Vikram Sharma</v>
      </c>
      <c r="E353" s="2" t="str">
        <f>PROPER(TRIM(Raw_Data!D353))</f>
        <v>West</v>
      </c>
      <c r="F353" s="2" t="str">
        <f>PROPER(TRIM(Raw_Data!E353))</f>
        <v>Furniture</v>
      </c>
      <c r="G353" s="2" t="str">
        <f>PROPER(TRIM(Raw_Data!F353))</f>
        <v>Chairs</v>
      </c>
      <c r="H353" s="2" t="str">
        <f>Raw_Data!G353</f>
        <v>ErgoComfort</v>
      </c>
      <c r="I353" s="2">
        <f>Raw_Data!H353</f>
        <v>11</v>
      </c>
      <c r="J353" s="4">
        <f>Raw_Data!I353</f>
        <v>8506.48</v>
      </c>
      <c r="K353" s="4">
        <f>Raw_Data!J353</f>
        <v>5103.8900000000003</v>
      </c>
      <c r="L353" s="5">
        <f>IF(Raw_Data!K353="",0,Raw_Data!K353)</f>
        <v>0</v>
      </c>
      <c r="M353" s="4">
        <f t="shared" si="21"/>
        <v>93571.28</v>
      </c>
      <c r="N353" s="4">
        <f t="shared" si="22"/>
        <v>37428.49</v>
      </c>
      <c r="O353" s="6">
        <f t="shared" si="23"/>
        <v>0.39999976488512284</v>
      </c>
    </row>
    <row r="354" spans="1:15" ht="15" customHeight="1" x14ac:dyDescent="0.3">
      <c r="A354" s="2">
        <f>Raw_Data!A354</f>
        <v>100353</v>
      </c>
      <c r="B354" s="3" t="e">
        <f>DATEVALUE(Raw_Data!B354)</f>
        <v>#VALUE!</v>
      </c>
      <c r="C354" s="2" t="e">
        <f t="shared" si="20"/>
        <v>#VALUE!</v>
      </c>
      <c r="D354" s="2" t="str">
        <f>PROPER(TRIM(Raw_Data!C354))</f>
        <v>Diya Mehta</v>
      </c>
      <c r="E354" s="2" t="str">
        <f>PROPER(TRIM(Raw_Data!D354))</f>
        <v>North</v>
      </c>
      <c r="F354" s="2" t="str">
        <f>PROPER(TRIM(Raw_Data!E354))</f>
        <v>Furniture</v>
      </c>
      <c r="G354" s="2" t="str">
        <f>PROPER(TRIM(Raw_Data!F354))</f>
        <v>Chairs</v>
      </c>
      <c r="H354" s="2" t="str">
        <f>Raw_Data!G354</f>
        <v>ClassicWood</v>
      </c>
      <c r="I354" s="2">
        <f>Raw_Data!H354</f>
        <v>12</v>
      </c>
      <c r="J354" s="4">
        <f>Raw_Data!I354</f>
        <v>5492.95</v>
      </c>
      <c r="K354" s="4">
        <f>Raw_Data!J354</f>
        <v>3570.42</v>
      </c>
      <c r="L354" s="5">
        <f>IF(Raw_Data!K354="",0,Raw_Data!K354)</f>
        <v>0.1</v>
      </c>
      <c r="M354" s="4">
        <f t="shared" si="21"/>
        <v>59323.86</v>
      </c>
      <c r="N354" s="4">
        <f t="shared" si="22"/>
        <v>16478.82</v>
      </c>
      <c r="O354" s="6">
        <f t="shared" si="23"/>
        <v>0.27777727207905889</v>
      </c>
    </row>
    <row r="355" spans="1:15" ht="15" customHeight="1" x14ac:dyDescent="0.3">
      <c r="A355" s="2">
        <f>Raw_Data!A355</f>
        <v>100354</v>
      </c>
      <c r="B355" s="3">
        <f>DATEVALUE(Raw_Data!B355)</f>
        <v>45484</v>
      </c>
      <c r="C355" s="2" t="str">
        <f t="shared" si="20"/>
        <v>Jul-2024</v>
      </c>
      <c r="D355" s="2" t="str">
        <f>PROPER(TRIM(Raw_Data!C355))</f>
        <v>Karan Malhotra</v>
      </c>
      <c r="E355" s="2" t="str">
        <f>PROPER(TRIM(Raw_Data!D355))</f>
        <v>North</v>
      </c>
      <c r="F355" s="2" t="str">
        <f>PROPER(TRIM(Raw_Data!E355))</f>
        <v>Clothing</v>
      </c>
      <c r="G355" s="2" t="str">
        <f>PROPER(TRIM(Raw_Data!F355))</f>
        <v>Shoes</v>
      </c>
      <c r="H355" s="2" t="str">
        <f>Raw_Data!G355</f>
        <v>WalkEase Casual</v>
      </c>
      <c r="I355" s="2">
        <f>Raw_Data!H355</f>
        <v>3</v>
      </c>
      <c r="J355" s="4">
        <f>Raw_Data!I355</f>
        <v>1941.96</v>
      </c>
      <c r="K355" s="4">
        <f>Raw_Data!J355</f>
        <v>970.98</v>
      </c>
      <c r="L355" s="5">
        <f>IF(Raw_Data!K355="",0,Raw_Data!K355)</f>
        <v>0.1</v>
      </c>
      <c r="M355" s="4">
        <f t="shared" si="21"/>
        <v>5243.29</v>
      </c>
      <c r="N355" s="4">
        <f t="shared" si="22"/>
        <v>2330.35</v>
      </c>
      <c r="O355" s="6">
        <f t="shared" si="23"/>
        <v>0.44444423253339027</v>
      </c>
    </row>
    <row r="356" spans="1:15" ht="15" customHeight="1" x14ac:dyDescent="0.3">
      <c r="A356" s="2">
        <f>Raw_Data!A356</f>
        <v>100355</v>
      </c>
      <c r="B356" s="3">
        <f>DATEVALUE(Raw_Data!B356)</f>
        <v>45517</v>
      </c>
      <c r="C356" s="2" t="str">
        <f t="shared" si="20"/>
        <v>Aug-2024</v>
      </c>
      <c r="D356" s="2" t="str">
        <f>PROPER(TRIM(Raw_Data!C356))</f>
        <v>Nikhil Shah</v>
      </c>
      <c r="E356" s="2" t="str">
        <f>PROPER(TRIM(Raw_Data!D356))</f>
        <v>South</v>
      </c>
      <c r="F356" s="2" t="str">
        <f>PROPER(TRIM(Raw_Data!E356))</f>
        <v>Electronics</v>
      </c>
      <c r="G356" s="2" t="str">
        <f>PROPER(TRIM(Raw_Data!F356))</f>
        <v>Headphones</v>
      </c>
      <c r="H356" s="2" t="str">
        <f>Raw_Data!G356</f>
        <v>SoundMax Pro</v>
      </c>
      <c r="I356" s="2">
        <f>Raw_Data!H356</f>
        <v>12</v>
      </c>
      <c r="J356" s="4">
        <f>Raw_Data!I356</f>
        <v>2698.82</v>
      </c>
      <c r="K356" s="4">
        <f>Raw_Data!J356</f>
        <v>1484.35</v>
      </c>
      <c r="L356" s="5">
        <f>IF(Raw_Data!K356="",0,Raw_Data!K356)</f>
        <v>0</v>
      </c>
      <c r="M356" s="4">
        <f t="shared" si="21"/>
        <v>32385.84</v>
      </c>
      <c r="N356" s="4">
        <f t="shared" si="22"/>
        <v>14573.64</v>
      </c>
      <c r="O356" s="6">
        <f t="shared" si="23"/>
        <v>0.45000037053230668</v>
      </c>
    </row>
    <row r="357" spans="1:15" ht="15" customHeight="1" x14ac:dyDescent="0.3">
      <c r="A357" s="2">
        <f>Raw_Data!A357</f>
        <v>100356</v>
      </c>
      <c r="B357" s="3" t="e">
        <f>DATEVALUE(Raw_Data!B357)</f>
        <v>#VALUE!</v>
      </c>
      <c r="C357" s="2" t="e">
        <f t="shared" si="20"/>
        <v>#VALUE!</v>
      </c>
      <c r="D357" s="2" t="str">
        <f>PROPER(TRIM(Raw_Data!C357))</f>
        <v>Priya Shah</v>
      </c>
      <c r="E357" s="2" t="str">
        <f>PROPER(TRIM(Raw_Data!D357))</f>
        <v>East</v>
      </c>
      <c r="F357" s="2" t="str">
        <f>PROPER(TRIM(Raw_Data!E357))</f>
        <v>Electronics</v>
      </c>
      <c r="G357" s="2" t="str">
        <f>PROPER(TRIM(Raw_Data!F357))</f>
        <v>Monitors</v>
      </c>
      <c r="H357" s="2" t="str">
        <f>Raw_Data!G357</f>
        <v>CurveTech 32</v>
      </c>
      <c r="I357" s="2">
        <f>Raw_Data!H357</f>
        <v>1</v>
      </c>
      <c r="J357" s="4">
        <f>Raw_Data!I357</f>
        <v>21057.040000000001</v>
      </c>
      <c r="K357" s="4">
        <f>Raw_Data!J357</f>
        <v>12213.08</v>
      </c>
      <c r="L357" s="5">
        <f>IF(Raw_Data!K357="",0,Raw_Data!K357)</f>
        <v>0</v>
      </c>
      <c r="M357" s="4">
        <f t="shared" si="21"/>
        <v>21057.040000000001</v>
      </c>
      <c r="N357" s="4">
        <f t="shared" si="22"/>
        <v>8843.9599999999991</v>
      </c>
      <c r="O357" s="6">
        <f t="shared" si="23"/>
        <v>0.4200001519681778</v>
      </c>
    </row>
    <row r="358" spans="1:15" ht="15" customHeight="1" x14ac:dyDescent="0.3">
      <c r="A358" s="2">
        <f>Raw_Data!A358</f>
        <v>100357</v>
      </c>
      <c r="B358" s="3">
        <f>DATEVALUE(Raw_Data!B358)</f>
        <v>45333</v>
      </c>
      <c r="C358" s="2" t="str">
        <f t="shared" si="20"/>
        <v>Feb-2024</v>
      </c>
      <c r="D358" s="2" t="str">
        <f>PROPER(TRIM(Raw_Data!C358))</f>
        <v>Simran Singh</v>
      </c>
      <c r="E358" s="2" t="str">
        <f>PROPER(TRIM(Raw_Data!D358))</f>
        <v>West</v>
      </c>
      <c r="F358" s="2" t="str">
        <f>PROPER(TRIM(Raw_Data!E358))</f>
        <v>Electronics</v>
      </c>
      <c r="G358" s="2" t="str">
        <f>PROPER(TRIM(Raw_Data!F358))</f>
        <v>Headphones</v>
      </c>
      <c r="H358" s="2" t="str">
        <f>Raw_Data!G358</f>
        <v>StudioFit</v>
      </c>
      <c r="I358" s="2">
        <f>Raw_Data!H358</f>
        <v>11</v>
      </c>
      <c r="J358" s="4">
        <f>Raw_Data!I358</f>
        <v>3094.3</v>
      </c>
      <c r="K358" s="4">
        <f>Raw_Data!J358</f>
        <v>1547.15</v>
      </c>
      <c r="L358" s="5">
        <f>IF(Raw_Data!K358="",0,Raw_Data!K358)</f>
        <v>0</v>
      </c>
      <c r="M358" s="4">
        <f t="shared" si="21"/>
        <v>34037.300000000003</v>
      </c>
      <c r="N358" s="4">
        <f t="shared" si="22"/>
        <v>17018.650000000001</v>
      </c>
      <c r="O358" s="6">
        <f t="shared" si="23"/>
        <v>0.5</v>
      </c>
    </row>
    <row r="359" spans="1:15" ht="15" customHeight="1" x14ac:dyDescent="0.3">
      <c r="A359" s="2">
        <f>Raw_Data!A359</f>
        <v>100358</v>
      </c>
      <c r="B359" s="3" t="e">
        <f>DATEVALUE(Raw_Data!B359)</f>
        <v>#VALUE!</v>
      </c>
      <c r="C359" s="2" t="e">
        <f t="shared" si="20"/>
        <v>#VALUE!</v>
      </c>
      <c r="D359" s="2" t="str">
        <f>PROPER(TRIM(Raw_Data!C359))</f>
        <v>Ishaan Agarwal</v>
      </c>
      <c r="E359" s="2" t="str">
        <f>PROPER(TRIM(Raw_Data!D359))</f>
        <v>South</v>
      </c>
      <c r="F359" s="2" t="str">
        <f>PROPER(TRIM(Raw_Data!E359))</f>
        <v>Electronics</v>
      </c>
      <c r="G359" s="2" t="str">
        <f>PROPER(TRIM(Raw_Data!F359))</f>
        <v>Headphones</v>
      </c>
      <c r="H359" s="2" t="str">
        <f>Raw_Data!G359</f>
        <v>BassBeat Mini</v>
      </c>
      <c r="I359" s="2">
        <f>Raw_Data!H359</f>
        <v>6</v>
      </c>
      <c r="J359" s="4">
        <f>Raw_Data!I359</f>
        <v>1266.5999999999999</v>
      </c>
      <c r="K359" s="4">
        <f>Raw_Data!J359</f>
        <v>759.96</v>
      </c>
      <c r="L359" s="5">
        <f>IF(Raw_Data!K359="",0,Raw_Data!K359)</f>
        <v>0.15</v>
      </c>
      <c r="M359" s="4">
        <f t="shared" si="21"/>
        <v>6459.66</v>
      </c>
      <c r="N359" s="4">
        <f t="shared" si="22"/>
        <v>1899.9</v>
      </c>
      <c r="O359" s="6">
        <f t="shared" si="23"/>
        <v>0.29411764705882354</v>
      </c>
    </row>
    <row r="360" spans="1:15" ht="15" customHeight="1" x14ac:dyDescent="0.3">
      <c r="A360" s="2">
        <f>Raw_Data!A360</f>
        <v>100359</v>
      </c>
      <c r="B360" s="3">
        <f>DATEVALUE(Raw_Data!B360)</f>
        <v>45452</v>
      </c>
      <c r="C360" s="2" t="str">
        <f t="shared" si="20"/>
        <v>Jun-2024</v>
      </c>
      <c r="D360" s="2" t="str">
        <f>PROPER(TRIM(Raw_Data!C360))</f>
        <v>Arjun Agarwal</v>
      </c>
      <c r="E360" s="2" t="str">
        <f>PROPER(TRIM(Raw_Data!D360))</f>
        <v>North</v>
      </c>
      <c r="F360" s="2" t="str">
        <f>PROPER(TRIM(Raw_Data!E360))</f>
        <v>Electronics</v>
      </c>
      <c r="G360" s="2" t="str">
        <f>PROPER(TRIM(Raw_Data!F360))</f>
        <v>Monitors</v>
      </c>
      <c r="H360" s="2" t="str">
        <f>Raw_Data!G360</f>
        <v>ViewClear 24</v>
      </c>
      <c r="I360" s="2">
        <f>Raw_Data!H360</f>
        <v>7</v>
      </c>
      <c r="J360" s="4">
        <f>Raw_Data!I360</f>
        <v>9232.5400000000009</v>
      </c>
      <c r="K360" s="4">
        <f>Raw_Data!J360</f>
        <v>5724.18</v>
      </c>
      <c r="L360" s="5">
        <f>IF(Raw_Data!K360="",0,Raw_Data!K360)</f>
        <v>0</v>
      </c>
      <c r="M360" s="4">
        <f t="shared" si="21"/>
        <v>64627.78</v>
      </c>
      <c r="N360" s="4">
        <f t="shared" si="22"/>
        <v>24558.52</v>
      </c>
      <c r="O360" s="6">
        <f t="shared" si="23"/>
        <v>0.37999943677471204</v>
      </c>
    </row>
    <row r="361" spans="1:15" ht="15" customHeight="1" x14ac:dyDescent="0.3">
      <c r="A361" s="2">
        <f>Raw_Data!A361</f>
        <v>100360</v>
      </c>
      <c r="B361" s="3" t="e">
        <f>DATEVALUE(Raw_Data!B361)</f>
        <v>#VALUE!</v>
      </c>
      <c r="C361" s="2" t="e">
        <f t="shared" si="20"/>
        <v>#VALUE!</v>
      </c>
      <c r="D361" s="2" t="str">
        <f>PROPER(TRIM(Raw_Data!C361))</f>
        <v>Aadhya Das</v>
      </c>
      <c r="E361" s="2" t="str">
        <f>PROPER(TRIM(Raw_Data!D361))</f>
        <v>West</v>
      </c>
      <c r="F361" s="2" t="str">
        <f>PROPER(TRIM(Raw_Data!E361))</f>
        <v>Electronics</v>
      </c>
      <c r="G361" s="2" t="str">
        <f>PROPER(TRIM(Raw_Data!F361))</f>
        <v>Laptops</v>
      </c>
      <c r="H361" s="2" t="str">
        <f>Raw_Data!G361</f>
        <v>ProBook 14</v>
      </c>
      <c r="I361" s="2">
        <f>Raw_Data!H361</f>
        <v>3</v>
      </c>
      <c r="J361" s="4">
        <f>Raw_Data!I361</f>
        <v>48167.9</v>
      </c>
      <c r="K361" s="4">
        <f>Raw_Data!J361</f>
        <v>31309.14</v>
      </c>
      <c r="L361" s="5">
        <f>IF(Raw_Data!K361="",0,Raw_Data!K361)</f>
        <v>0.15</v>
      </c>
      <c r="M361" s="4">
        <f t="shared" si="21"/>
        <v>122828.15</v>
      </c>
      <c r="N361" s="4">
        <f t="shared" si="22"/>
        <v>28900.73</v>
      </c>
      <c r="O361" s="6">
        <f t="shared" si="23"/>
        <v>0.23529402665431337</v>
      </c>
    </row>
    <row r="362" spans="1:15" ht="15" customHeight="1" x14ac:dyDescent="0.3">
      <c r="A362" s="2">
        <f>Raw_Data!A362</f>
        <v>100361</v>
      </c>
      <c r="B362" s="3">
        <f>DATEVALUE(Raw_Data!B362)</f>
        <v>45457</v>
      </c>
      <c r="C362" s="2" t="str">
        <f t="shared" si="20"/>
        <v>Jun-2024</v>
      </c>
      <c r="D362" s="2" t="str">
        <f>PROPER(TRIM(Raw_Data!C362))</f>
        <v>Rahul Nair</v>
      </c>
      <c r="E362" s="2" t="str">
        <f>PROPER(TRIM(Raw_Data!D362))</f>
        <v>North</v>
      </c>
      <c r="F362" s="2" t="str">
        <f>PROPER(TRIM(Raw_Data!E362))</f>
        <v>Furniture</v>
      </c>
      <c r="G362" s="2" t="str">
        <f>PROPER(TRIM(Raw_Data!F362))</f>
        <v>Cabinets</v>
      </c>
      <c r="H362" s="2" t="str">
        <f>Raw_Data!G362</f>
        <v>FileSafe Steel</v>
      </c>
      <c r="I362" s="2">
        <f>Raw_Data!H362</f>
        <v>11</v>
      </c>
      <c r="J362" s="4">
        <f>Raw_Data!I362</f>
        <v>5921.68</v>
      </c>
      <c r="K362" s="4">
        <f>Raw_Data!J362</f>
        <v>3553.01</v>
      </c>
      <c r="L362" s="5">
        <f>IF(Raw_Data!K362="",0,Raw_Data!K362)</f>
        <v>0.05</v>
      </c>
      <c r="M362" s="4">
        <f t="shared" si="21"/>
        <v>61881.56</v>
      </c>
      <c r="N362" s="4">
        <f t="shared" si="22"/>
        <v>22798.45</v>
      </c>
      <c r="O362" s="6">
        <f t="shared" si="23"/>
        <v>0.36842073793873331</v>
      </c>
    </row>
    <row r="363" spans="1:15" ht="15" customHeight="1" x14ac:dyDescent="0.3">
      <c r="A363" s="2">
        <f>Raw_Data!A363</f>
        <v>100362</v>
      </c>
      <c r="B363" s="3" t="e">
        <f>DATEVALUE(Raw_Data!B363)</f>
        <v>#VALUE!</v>
      </c>
      <c r="C363" s="2" t="e">
        <f t="shared" si="20"/>
        <v>#VALUE!</v>
      </c>
      <c r="D363" s="2" t="str">
        <f>PROPER(TRIM(Raw_Data!C363))</f>
        <v>Neha Reddy</v>
      </c>
      <c r="E363" s="2" t="str">
        <f>PROPER(TRIM(Raw_Data!D363))</f>
        <v>South</v>
      </c>
      <c r="F363" s="2" t="str">
        <f>PROPER(TRIM(Raw_Data!E363))</f>
        <v>Clothing</v>
      </c>
      <c r="G363" s="2" t="str">
        <f>PROPER(TRIM(Raw_Data!F363))</f>
        <v>Jackets</v>
      </c>
      <c r="H363" s="2" t="str">
        <f>Raw_Data!G363</f>
        <v>RainShield Pro</v>
      </c>
      <c r="I363" s="2">
        <f>Raw_Data!H363</f>
        <v>1</v>
      </c>
      <c r="J363" s="4">
        <f>Raw_Data!I363</f>
        <v>2145.4</v>
      </c>
      <c r="K363" s="4">
        <f>Raw_Data!J363</f>
        <v>1072.7</v>
      </c>
      <c r="L363" s="5">
        <f>IF(Raw_Data!K363="",0,Raw_Data!K363)</f>
        <v>0.2</v>
      </c>
      <c r="M363" s="4">
        <f t="shared" si="21"/>
        <v>1716.32</v>
      </c>
      <c r="N363" s="4">
        <f t="shared" si="22"/>
        <v>643.62</v>
      </c>
      <c r="O363" s="6">
        <f t="shared" si="23"/>
        <v>0.375</v>
      </c>
    </row>
    <row r="364" spans="1:15" ht="15" customHeight="1" x14ac:dyDescent="0.3">
      <c r="A364" s="2">
        <f>Raw_Data!A364</f>
        <v>100363</v>
      </c>
      <c r="B364" s="3">
        <f>DATEVALUE(Raw_Data!B364)</f>
        <v>45377</v>
      </c>
      <c r="C364" s="2" t="str">
        <f t="shared" si="20"/>
        <v>Mar-2024</v>
      </c>
      <c r="D364" s="2" t="str">
        <f>PROPER(TRIM(Raw_Data!C364))</f>
        <v>Neha Pillai</v>
      </c>
      <c r="E364" s="2" t="str">
        <f>PROPER(TRIM(Raw_Data!D364))</f>
        <v>West</v>
      </c>
      <c r="F364" s="2" t="str">
        <f>PROPER(TRIM(Raw_Data!E364))</f>
        <v>Electronics</v>
      </c>
      <c r="G364" s="2" t="str">
        <f>PROPER(TRIM(Raw_Data!F364))</f>
        <v>Laptops</v>
      </c>
      <c r="H364" s="2" t="str">
        <f>Raw_Data!G364</f>
        <v>EcoBook Air</v>
      </c>
      <c r="I364" s="2">
        <f>Raw_Data!H364</f>
        <v>1</v>
      </c>
      <c r="J364" s="4">
        <f>Raw_Data!I364</f>
        <v>40668.82</v>
      </c>
      <c r="K364" s="4">
        <f>Raw_Data!J364</f>
        <v>27654.79</v>
      </c>
      <c r="L364" s="5">
        <f>IF(Raw_Data!K364="",0,Raw_Data!K364)</f>
        <v>0</v>
      </c>
      <c r="M364" s="4">
        <f t="shared" si="21"/>
        <v>40668.82</v>
      </c>
      <c r="N364" s="4">
        <f t="shared" si="22"/>
        <v>13014.03</v>
      </c>
      <c r="O364" s="6">
        <f t="shared" si="23"/>
        <v>0.3200001868753507</v>
      </c>
    </row>
    <row r="365" spans="1:15" ht="15" customHeight="1" x14ac:dyDescent="0.3">
      <c r="A365" s="2">
        <f>Raw_Data!A365</f>
        <v>100364</v>
      </c>
      <c r="B365" s="3">
        <f>DATEVALUE(Raw_Data!B365)</f>
        <v>45501</v>
      </c>
      <c r="C365" s="2" t="str">
        <f t="shared" si="20"/>
        <v>Jul-2024</v>
      </c>
      <c r="D365" s="2" t="str">
        <f>PROPER(TRIM(Raw_Data!C365))</f>
        <v>Myra Nair</v>
      </c>
      <c r="E365" s="2" t="str">
        <f>PROPER(TRIM(Raw_Data!D365))</f>
        <v>East</v>
      </c>
      <c r="F365" s="2" t="str">
        <f>PROPER(TRIM(Raw_Data!E365))</f>
        <v>Furniture</v>
      </c>
      <c r="G365" s="2" t="str">
        <f>PROPER(TRIM(Raw_Data!F365))</f>
        <v>Chairs</v>
      </c>
      <c r="H365" s="2" t="str">
        <f>Raw_Data!G365</f>
        <v>ClassicWood</v>
      </c>
      <c r="I365" s="2">
        <f>Raw_Data!H365</f>
        <v>4</v>
      </c>
      <c r="J365" s="4">
        <f>Raw_Data!I365</f>
        <v>5006.29</v>
      </c>
      <c r="K365" s="4">
        <f>Raw_Data!J365</f>
        <v>3254.09</v>
      </c>
      <c r="L365" s="5">
        <f>IF(Raw_Data!K365="",0,Raw_Data!K365)</f>
        <v>0.15</v>
      </c>
      <c r="M365" s="4">
        <f t="shared" si="21"/>
        <v>17021.39</v>
      </c>
      <c r="N365" s="4">
        <f t="shared" si="22"/>
        <v>4005.03</v>
      </c>
      <c r="O365" s="6">
        <f t="shared" si="23"/>
        <v>0.23529394485409244</v>
      </c>
    </row>
    <row r="366" spans="1:15" ht="15" customHeight="1" x14ac:dyDescent="0.3">
      <c r="A366" s="2">
        <f>Raw_Data!A366</f>
        <v>100365</v>
      </c>
      <c r="B366" s="3">
        <f>DATEVALUE(Raw_Data!B366)</f>
        <v>45452</v>
      </c>
      <c r="C366" s="2" t="str">
        <f t="shared" si="20"/>
        <v>Jun-2024</v>
      </c>
      <c r="D366" s="2" t="str">
        <f>PROPER(TRIM(Raw_Data!C366))</f>
        <v>Diya Patel</v>
      </c>
      <c r="E366" s="2" t="str">
        <f>PROPER(TRIM(Raw_Data!D366))</f>
        <v>South</v>
      </c>
      <c r="F366" s="2" t="str">
        <f>PROPER(TRIM(Raw_Data!E366))</f>
        <v>Clothing</v>
      </c>
      <c r="G366" s="2" t="str">
        <f>PROPER(TRIM(Raw_Data!F366))</f>
        <v>Shoes</v>
      </c>
      <c r="H366" s="2" t="str">
        <f>Raw_Data!G366</f>
        <v>WalkEase Casual</v>
      </c>
      <c r="I366" s="2">
        <f>Raw_Data!H366</f>
        <v>8</v>
      </c>
      <c r="J366" s="4">
        <f>Raw_Data!I366</f>
        <v>1982.8</v>
      </c>
      <c r="K366" s="4">
        <f>Raw_Data!J366</f>
        <v>991.4</v>
      </c>
      <c r="L366" s="5">
        <f>IF(Raw_Data!K366="",0,Raw_Data!K366)</f>
        <v>0</v>
      </c>
      <c r="M366" s="4">
        <f t="shared" si="21"/>
        <v>15862.4</v>
      </c>
      <c r="N366" s="4">
        <f t="shared" si="22"/>
        <v>7931.2</v>
      </c>
      <c r="O366" s="6">
        <f t="shared" si="23"/>
        <v>0.5</v>
      </c>
    </row>
    <row r="367" spans="1:15" ht="15" customHeight="1" x14ac:dyDescent="0.3">
      <c r="A367" s="2">
        <f>Raw_Data!A367</f>
        <v>100366</v>
      </c>
      <c r="B367" s="3">
        <f>DATEVALUE(Raw_Data!B367)</f>
        <v>45583</v>
      </c>
      <c r="C367" s="2" t="str">
        <f t="shared" si="20"/>
        <v>Oct-2024</v>
      </c>
      <c r="D367" s="2" t="str">
        <f>PROPER(TRIM(Raw_Data!C367))</f>
        <v>Aditya Rao</v>
      </c>
      <c r="E367" s="2" t="str">
        <f>PROPER(TRIM(Raw_Data!D367))</f>
        <v>East</v>
      </c>
      <c r="F367" s="2" t="str">
        <f>PROPER(TRIM(Raw_Data!E367))</f>
        <v>Furniture</v>
      </c>
      <c r="G367" s="2" t="str">
        <f>PROPER(TRIM(Raw_Data!F367))</f>
        <v>Bookshelves</v>
      </c>
      <c r="H367" s="2" t="str">
        <f>Raw_Data!G367</f>
        <v>WoodCraft 5-Tier</v>
      </c>
      <c r="I367" s="2">
        <f>Raw_Data!H367</f>
        <v>11</v>
      </c>
      <c r="J367" s="4">
        <f>Raw_Data!I367</f>
        <v>3651.12</v>
      </c>
      <c r="K367" s="4">
        <f>Raw_Data!J367</f>
        <v>2190.67</v>
      </c>
      <c r="L367" s="5">
        <f>IF(Raw_Data!K367="",0,Raw_Data!K367)</f>
        <v>0</v>
      </c>
      <c r="M367" s="4">
        <f t="shared" si="21"/>
        <v>40162.32</v>
      </c>
      <c r="N367" s="4">
        <f t="shared" si="22"/>
        <v>16064.95</v>
      </c>
      <c r="O367" s="6">
        <f t="shared" si="23"/>
        <v>0.40000054777712046</v>
      </c>
    </row>
    <row r="368" spans="1:15" ht="15" customHeight="1" x14ac:dyDescent="0.3">
      <c r="A368" s="2">
        <f>Raw_Data!A368</f>
        <v>100367</v>
      </c>
      <c r="B368" s="3">
        <f>DATEVALUE(Raw_Data!B368)</f>
        <v>45381</v>
      </c>
      <c r="C368" s="2" t="str">
        <f t="shared" si="20"/>
        <v>Mar-2024</v>
      </c>
      <c r="D368" s="2" t="str">
        <f>PROPER(TRIM(Raw_Data!C368))</f>
        <v>Aadhya Verma</v>
      </c>
      <c r="E368" s="2" t="str">
        <f>PROPER(TRIM(Raw_Data!D368))</f>
        <v>West</v>
      </c>
      <c r="F368" s="2" t="str">
        <f>PROPER(TRIM(Raw_Data!E368))</f>
        <v>Furniture</v>
      </c>
      <c r="G368" s="2" t="str">
        <f>PROPER(TRIM(Raw_Data!F368))</f>
        <v>Desks</v>
      </c>
      <c r="H368" s="2" t="str">
        <f>Raw_Data!G368</f>
        <v>CornerFit Desk</v>
      </c>
      <c r="I368" s="2">
        <f>Raw_Data!H368</f>
        <v>7</v>
      </c>
      <c r="J368" s="4">
        <f>Raw_Data!I368</f>
        <v>10048.24</v>
      </c>
      <c r="K368" s="4">
        <f>Raw_Data!J368</f>
        <v>5827.98</v>
      </c>
      <c r="L368" s="5">
        <f>IF(Raw_Data!K368="",0,Raw_Data!K368)</f>
        <v>0</v>
      </c>
      <c r="M368" s="4">
        <f t="shared" si="21"/>
        <v>70337.679999999993</v>
      </c>
      <c r="N368" s="4">
        <f t="shared" si="22"/>
        <v>29541.82</v>
      </c>
      <c r="O368" s="6">
        <f t="shared" si="23"/>
        <v>0.4199999203840673</v>
      </c>
    </row>
    <row r="369" spans="1:15" ht="15" customHeight="1" x14ac:dyDescent="0.3">
      <c r="A369" s="2">
        <f>Raw_Data!A369</f>
        <v>100368</v>
      </c>
      <c r="B369" s="3" t="e">
        <f>DATEVALUE(Raw_Data!B369)</f>
        <v>#VALUE!</v>
      </c>
      <c r="C369" s="2" t="e">
        <f t="shared" si="20"/>
        <v>#VALUE!</v>
      </c>
      <c r="D369" s="2" t="str">
        <f>PROPER(TRIM(Raw_Data!C369))</f>
        <v>Sai Patel</v>
      </c>
      <c r="E369" s="2" t="str">
        <f>PROPER(TRIM(Raw_Data!D369))</f>
        <v>North</v>
      </c>
      <c r="F369" s="2" t="str">
        <f>PROPER(TRIM(Raw_Data!E369))</f>
        <v>Clothing</v>
      </c>
      <c r="G369" s="2" t="str">
        <f>PROPER(TRIM(Raw_Data!F369))</f>
        <v>Bags</v>
      </c>
      <c r="H369" s="2" t="str">
        <f>Raw_Data!G369</f>
        <v>CityCarry Backpack</v>
      </c>
      <c r="I369" s="2">
        <f>Raw_Data!H369</f>
        <v>2</v>
      </c>
      <c r="J369" s="4">
        <f>Raw_Data!I369</f>
        <v>1533.9</v>
      </c>
      <c r="K369" s="4">
        <f>Raw_Data!J369</f>
        <v>766.95</v>
      </c>
      <c r="L369" s="5">
        <f>IF(Raw_Data!K369="",0,Raw_Data!K369)</f>
        <v>0</v>
      </c>
      <c r="M369" s="4">
        <f t="shared" si="21"/>
        <v>3067.8</v>
      </c>
      <c r="N369" s="4">
        <f t="shared" si="22"/>
        <v>1533.9</v>
      </c>
      <c r="O369" s="6">
        <f t="shared" si="23"/>
        <v>0.5</v>
      </c>
    </row>
    <row r="370" spans="1:15" ht="15" customHeight="1" x14ac:dyDescent="0.3">
      <c r="A370" s="2">
        <f>Raw_Data!A370</f>
        <v>100369</v>
      </c>
      <c r="B370" s="3" t="e">
        <f>DATEVALUE(Raw_Data!B370)</f>
        <v>#VALUE!</v>
      </c>
      <c r="C370" s="2" t="e">
        <f t="shared" si="20"/>
        <v>#VALUE!</v>
      </c>
      <c r="D370" s="2" t="str">
        <f>PROPER(TRIM(Raw_Data!C370))</f>
        <v>Manoj Bose</v>
      </c>
      <c r="E370" s="2" t="str">
        <f>PROPER(TRIM(Raw_Data!D370))</f>
        <v>West</v>
      </c>
      <c r="F370" s="2" t="str">
        <f>PROPER(TRIM(Raw_Data!E370))</f>
        <v>Electronics</v>
      </c>
      <c r="G370" s="2" t="str">
        <f>PROPER(TRIM(Raw_Data!F370))</f>
        <v>Keyboards</v>
      </c>
      <c r="H370" s="2" t="str">
        <f>Raw_Data!G370</f>
        <v>SilentBoard</v>
      </c>
      <c r="I370" s="2">
        <f>Raw_Data!H370</f>
        <v>3</v>
      </c>
      <c r="J370" s="4">
        <f>Raw_Data!I370</f>
        <v>1010.46</v>
      </c>
      <c r="K370" s="4">
        <f>Raw_Data!J370</f>
        <v>606.28</v>
      </c>
      <c r="L370" s="5">
        <f>IF(Raw_Data!K370="",0,Raw_Data!K370)</f>
        <v>0.1</v>
      </c>
      <c r="M370" s="4">
        <f t="shared" si="21"/>
        <v>2728.24</v>
      </c>
      <c r="N370" s="4">
        <f t="shared" si="22"/>
        <v>909.4</v>
      </c>
      <c r="O370" s="6">
        <f t="shared" si="23"/>
        <v>0.33332844617775564</v>
      </c>
    </row>
    <row r="371" spans="1:15" ht="15" customHeight="1" x14ac:dyDescent="0.3">
      <c r="A371" s="2">
        <f>Raw_Data!A371</f>
        <v>100370</v>
      </c>
      <c r="B371" s="3">
        <f>DATEVALUE(Raw_Data!B371)</f>
        <v>45656</v>
      </c>
      <c r="C371" s="2" t="str">
        <f t="shared" si="20"/>
        <v>Dec-2024</v>
      </c>
      <c r="D371" s="2" t="str">
        <f>PROPER(TRIM(Raw_Data!C371))</f>
        <v>Pooja Chopra</v>
      </c>
      <c r="E371" s="2" t="str">
        <f>PROPER(TRIM(Raw_Data!D371))</f>
        <v>East</v>
      </c>
      <c r="F371" s="2" t="str">
        <f>PROPER(TRIM(Raw_Data!E371))</f>
        <v>Clothing</v>
      </c>
      <c r="G371" s="2" t="str">
        <f>PROPER(TRIM(Raw_Data!F371))</f>
        <v>Shoes</v>
      </c>
      <c r="H371" s="2" t="str">
        <f>Raw_Data!G371</f>
        <v>WalkEase Casual</v>
      </c>
      <c r="I371" s="2">
        <f>Raw_Data!H371</f>
        <v>11</v>
      </c>
      <c r="J371" s="4">
        <f>Raw_Data!I371</f>
        <v>1825</v>
      </c>
      <c r="K371" s="4">
        <f>Raw_Data!J371</f>
        <v>912.5</v>
      </c>
      <c r="L371" s="5">
        <f>IF(Raw_Data!K371="",0,Raw_Data!K371)</f>
        <v>0.05</v>
      </c>
      <c r="M371" s="4">
        <f t="shared" si="21"/>
        <v>19071.25</v>
      </c>
      <c r="N371" s="4">
        <f t="shared" si="22"/>
        <v>9033.75</v>
      </c>
      <c r="O371" s="6">
        <f t="shared" si="23"/>
        <v>0.47368421052631576</v>
      </c>
    </row>
    <row r="372" spans="1:15" ht="15" customHeight="1" x14ac:dyDescent="0.3">
      <c r="A372" s="2">
        <f>Raw_Data!A372</f>
        <v>100371</v>
      </c>
      <c r="B372" s="3">
        <f>DATEVALUE(Raw_Data!B372)</f>
        <v>45528</v>
      </c>
      <c r="C372" s="2" t="str">
        <f t="shared" si="20"/>
        <v>Aug-2024</v>
      </c>
      <c r="D372" s="2" t="str">
        <f>PROPER(TRIM(Raw_Data!C372))</f>
        <v>Aman Nair</v>
      </c>
      <c r="E372" s="2" t="str">
        <f>PROPER(TRIM(Raw_Data!D372))</f>
        <v>North</v>
      </c>
      <c r="F372" s="2" t="str">
        <f>PROPER(TRIM(Raw_Data!E372))</f>
        <v>Furniture</v>
      </c>
      <c r="G372" s="2" t="str">
        <f>PROPER(TRIM(Raw_Data!F372))</f>
        <v>Desks</v>
      </c>
      <c r="H372" s="2" t="str">
        <f>Raw_Data!G372</f>
        <v>CornerFit Desk</v>
      </c>
      <c r="I372" s="2">
        <f>Raw_Data!H372</f>
        <v>4</v>
      </c>
      <c r="J372" s="4">
        <f>Raw_Data!I372</f>
        <v>9997.49</v>
      </c>
      <c r="K372" s="4">
        <f>Raw_Data!J372</f>
        <v>5798.55</v>
      </c>
      <c r="L372" s="5">
        <f>IF(Raw_Data!K372="",0,Raw_Data!K372)</f>
        <v>0.15</v>
      </c>
      <c r="M372" s="4">
        <f t="shared" si="21"/>
        <v>33991.47</v>
      </c>
      <c r="N372" s="4">
        <f t="shared" si="22"/>
        <v>10797.27</v>
      </c>
      <c r="O372" s="6">
        <f t="shared" si="23"/>
        <v>0.31764645659631668</v>
      </c>
    </row>
    <row r="373" spans="1:15" ht="15" customHeight="1" x14ac:dyDescent="0.3">
      <c r="A373" s="2">
        <f>Raw_Data!A373</f>
        <v>100372</v>
      </c>
      <c r="B373" s="3" t="e">
        <f>DATEVALUE(Raw_Data!B373)</f>
        <v>#VALUE!</v>
      </c>
      <c r="C373" s="2" t="e">
        <f t="shared" si="20"/>
        <v>#VALUE!</v>
      </c>
      <c r="D373" s="2" t="str">
        <f>PROPER(TRIM(Raw_Data!C373))</f>
        <v>Kiara Bhatt</v>
      </c>
      <c r="E373" s="2" t="str">
        <f>PROPER(TRIM(Raw_Data!D373))</f>
        <v>West</v>
      </c>
      <c r="F373" s="2" t="str">
        <f>PROPER(TRIM(Raw_Data!E373))</f>
        <v>Clothing</v>
      </c>
      <c r="G373" s="2" t="str">
        <f>PROPER(TRIM(Raw_Data!F373))</f>
        <v>T-Shirts</v>
      </c>
      <c r="H373" s="2" t="str">
        <f>Raw_Data!G373</f>
        <v>ActiveDry Sport</v>
      </c>
      <c r="I373" s="2">
        <f>Raw_Data!H373</f>
        <v>12</v>
      </c>
      <c r="J373" s="4">
        <f>Raw_Data!I373</f>
        <v>662.45</v>
      </c>
      <c r="K373" s="4">
        <f>Raw_Data!J373</f>
        <v>298.10000000000002</v>
      </c>
      <c r="L373" s="5">
        <f>IF(Raw_Data!K373="",0,Raw_Data!K373)</f>
        <v>0.2</v>
      </c>
      <c r="M373" s="4">
        <f t="shared" si="21"/>
        <v>6359.52</v>
      </c>
      <c r="N373" s="4">
        <f t="shared" si="22"/>
        <v>2782.32</v>
      </c>
      <c r="O373" s="6">
        <f t="shared" si="23"/>
        <v>0.43750471733715751</v>
      </c>
    </row>
    <row r="374" spans="1:15" ht="15" customHeight="1" x14ac:dyDescent="0.3">
      <c r="A374" s="2">
        <f>Raw_Data!A374</f>
        <v>100373</v>
      </c>
      <c r="B374" s="3">
        <f>DATEVALUE(Raw_Data!B374)</f>
        <v>45445</v>
      </c>
      <c r="C374" s="2" t="str">
        <f t="shared" si="20"/>
        <v>Jun-2024</v>
      </c>
      <c r="D374" s="2" t="str">
        <f>PROPER(TRIM(Raw_Data!C374))</f>
        <v>Ishaan Patel</v>
      </c>
      <c r="E374" s="2" t="str">
        <f>PROPER(TRIM(Raw_Data!D374))</f>
        <v>West</v>
      </c>
      <c r="F374" s="2" t="str">
        <f>PROPER(TRIM(Raw_Data!E374))</f>
        <v>Electronics</v>
      </c>
      <c r="G374" s="2" t="str">
        <f>PROPER(TRIM(Raw_Data!F374))</f>
        <v>Laptops</v>
      </c>
      <c r="H374" s="2" t="str">
        <f>Raw_Data!G374</f>
        <v>UltraSlim X1</v>
      </c>
      <c r="I374" s="2">
        <f>Raw_Data!H374</f>
        <v>3</v>
      </c>
      <c r="J374" s="4">
        <f>Raw_Data!I374</f>
        <v>61224.28</v>
      </c>
      <c r="K374" s="4">
        <f>Raw_Data!J374</f>
        <v>36734.57</v>
      </c>
      <c r="L374" s="5">
        <f>IF(Raw_Data!K374="",0,Raw_Data!K374)</f>
        <v>0</v>
      </c>
      <c r="M374" s="4">
        <f t="shared" si="21"/>
        <v>183672.84</v>
      </c>
      <c r="N374" s="4">
        <f t="shared" si="22"/>
        <v>73469.13</v>
      </c>
      <c r="O374" s="6">
        <f t="shared" si="23"/>
        <v>0.39999996733322141</v>
      </c>
    </row>
    <row r="375" spans="1:15" ht="15" customHeight="1" x14ac:dyDescent="0.3">
      <c r="A375" s="2">
        <f>Raw_Data!A375</f>
        <v>100374</v>
      </c>
      <c r="B375" s="3">
        <f>DATEVALUE(Raw_Data!B375)</f>
        <v>45419</v>
      </c>
      <c r="C375" s="2" t="str">
        <f t="shared" si="20"/>
        <v>May-2024</v>
      </c>
      <c r="D375" s="2" t="str">
        <f>PROPER(TRIM(Raw_Data!C375))</f>
        <v>Aarav Nair</v>
      </c>
      <c r="E375" s="2" t="str">
        <f>PROPER(TRIM(Raw_Data!D375))</f>
        <v>South</v>
      </c>
      <c r="F375" s="2" t="str">
        <f>PROPER(TRIM(Raw_Data!E375))</f>
        <v>Clothing</v>
      </c>
      <c r="G375" s="2" t="str">
        <f>PROPER(TRIM(Raw_Data!F375))</f>
        <v>Shoes</v>
      </c>
      <c r="H375" s="2" t="str">
        <f>Raw_Data!G375</f>
        <v>RunFast Sport</v>
      </c>
      <c r="I375" s="2">
        <f>Raw_Data!H375</f>
        <v>8</v>
      </c>
      <c r="J375" s="4">
        <f>Raw_Data!I375</f>
        <v>2719.35</v>
      </c>
      <c r="K375" s="4">
        <f>Raw_Data!J375</f>
        <v>1305.29</v>
      </c>
      <c r="L375" s="5">
        <f>IF(Raw_Data!K375="",0,Raw_Data!K375)</f>
        <v>0</v>
      </c>
      <c r="M375" s="4">
        <f t="shared" si="21"/>
        <v>21754.799999999999</v>
      </c>
      <c r="N375" s="4">
        <f t="shared" si="22"/>
        <v>11312.48</v>
      </c>
      <c r="O375" s="6">
        <f t="shared" si="23"/>
        <v>0.51999926453012668</v>
      </c>
    </row>
    <row r="376" spans="1:15" ht="15" customHeight="1" x14ac:dyDescent="0.3">
      <c r="A376" s="2">
        <f>Raw_Data!A376</f>
        <v>100375</v>
      </c>
      <c r="B376" s="3">
        <f>DATEVALUE(Raw_Data!B376)</f>
        <v>45448</v>
      </c>
      <c r="C376" s="2" t="str">
        <f t="shared" si="20"/>
        <v>Jun-2024</v>
      </c>
      <c r="D376" s="2" t="str">
        <f>PROPER(TRIM(Raw_Data!C376))</f>
        <v>Arjun Das</v>
      </c>
      <c r="E376" s="2" t="str">
        <f>PROPER(TRIM(Raw_Data!D376))</f>
        <v>West</v>
      </c>
      <c r="F376" s="2" t="str">
        <f>PROPER(TRIM(Raw_Data!E376))</f>
        <v>Clothing</v>
      </c>
      <c r="G376" s="2" t="str">
        <f>PROPER(TRIM(Raw_Data!F376))</f>
        <v>Bags</v>
      </c>
      <c r="H376" s="2" t="str">
        <f>Raw_Data!G376</f>
        <v>TravelMax Duffel</v>
      </c>
      <c r="I376" s="2">
        <f>Raw_Data!H376</f>
        <v>10</v>
      </c>
      <c r="J376" s="4">
        <f>Raw_Data!I376</f>
        <v>1740.88</v>
      </c>
      <c r="K376" s="4">
        <f>Raw_Data!J376</f>
        <v>870.44</v>
      </c>
      <c r="L376" s="5">
        <f>IF(Raw_Data!K376="",0,Raw_Data!K376)</f>
        <v>0.2</v>
      </c>
      <c r="M376" s="4">
        <f t="shared" si="21"/>
        <v>13927.04</v>
      </c>
      <c r="N376" s="4">
        <f t="shared" si="22"/>
        <v>5222.6400000000003</v>
      </c>
      <c r="O376" s="6">
        <f t="shared" si="23"/>
        <v>0.375</v>
      </c>
    </row>
    <row r="377" spans="1:15" ht="15" customHeight="1" x14ac:dyDescent="0.3">
      <c r="A377" s="2">
        <f>Raw_Data!A377</f>
        <v>100376</v>
      </c>
      <c r="B377" s="3">
        <f>DATEVALUE(Raw_Data!B377)</f>
        <v>45357</v>
      </c>
      <c r="C377" s="2" t="str">
        <f t="shared" si="20"/>
        <v>Mar-2024</v>
      </c>
      <c r="D377" s="2" t="str">
        <f>PROPER(TRIM(Raw_Data!C377))</f>
        <v>Ishaan Verma</v>
      </c>
      <c r="E377" s="2" t="str">
        <f>PROPER(TRIM(Raw_Data!D377))</f>
        <v>South</v>
      </c>
      <c r="F377" s="2" t="str">
        <f>PROPER(TRIM(Raw_Data!E377))</f>
        <v>Office Supplies</v>
      </c>
      <c r="G377" s="2" t="str">
        <f>PROPER(TRIM(Raw_Data!F377))</f>
        <v>Pens</v>
      </c>
      <c r="H377" s="2" t="str">
        <f>Raw_Data!G377</f>
        <v>WriteSmooth Pack10</v>
      </c>
      <c r="I377" s="2">
        <f>Raw_Data!H377</f>
        <v>12</v>
      </c>
      <c r="J377" s="4">
        <f>Raw_Data!I377</f>
        <v>156.01</v>
      </c>
      <c r="K377" s="4">
        <f>Raw_Data!J377</f>
        <v>70.2</v>
      </c>
      <c r="L377" s="5">
        <f>IF(Raw_Data!K377="",0,Raw_Data!K377)</f>
        <v>0.15</v>
      </c>
      <c r="M377" s="4">
        <f t="shared" si="21"/>
        <v>1591.3</v>
      </c>
      <c r="N377" s="4">
        <f t="shared" si="22"/>
        <v>748.9</v>
      </c>
      <c r="O377" s="6">
        <f t="shared" si="23"/>
        <v>0.47062150443033995</v>
      </c>
    </row>
    <row r="378" spans="1:15" ht="15" customHeight="1" x14ac:dyDescent="0.3">
      <c r="A378" s="2">
        <f>Raw_Data!A378</f>
        <v>100377</v>
      </c>
      <c r="B378" s="3">
        <f>DATEVALUE(Raw_Data!B378)</f>
        <v>45545</v>
      </c>
      <c r="C378" s="2" t="str">
        <f t="shared" si="20"/>
        <v>Sep-2024</v>
      </c>
      <c r="D378" s="2" t="str">
        <f>PROPER(TRIM(Raw_Data!C378))</f>
        <v>Meera Sharma</v>
      </c>
      <c r="E378" s="2" t="str">
        <f>PROPER(TRIM(Raw_Data!D378))</f>
        <v>East</v>
      </c>
      <c r="F378" s="2" t="str">
        <f>PROPER(TRIM(Raw_Data!E378))</f>
        <v>Office Supplies</v>
      </c>
      <c r="G378" s="2" t="str">
        <f>PROPER(TRIM(Raw_Data!F378))</f>
        <v>Pens</v>
      </c>
      <c r="H378" s="2" t="str">
        <f>Raw_Data!G378</f>
        <v>InkFlow Gel Pack5</v>
      </c>
      <c r="I378" s="2">
        <f>Raw_Data!H378</f>
        <v>8</v>
      </c>
      <c r="J378" s="4">
        <f>Raw_Data!I378</f>
        <v>122.42</v>
      </c>
      <c r="K378" s="4">
        <f>Raw_Data!J378</f>
        <v>55.09</v>
      </c>
      <c r="L378" s="5">
        <f>IF(Raw_Data!K378="",0,Raw_Data!K378)</f>
        <v>0</v>
      </c>
      <c r="M378" s="4">
        <f t="shared" si="21"/>
        <v>979.36</v>
      </c>
      <c r="N378" s="4">
        <f t="shared" si="22"/>
        <v>538.64</v>
      </c>
      <c r="O378" s="6">
        <f t="shared" si="23"/>
        <v>0.549991831400098</v>
      </c>
    </row>
    <row r="379" spans="1:15" ht="15" customHeight="1" x14ac:dyDescent="0.3">
      <c r="A379" s="2">
        <f>Raw_Data!A379</f>
        <v>100378</v>
      </c>
      <c r="B379" s="3" t="e">
        <f>DATEVALUE(Raw_Data!B379)</f>
        <v>#VALUE!</v>
      </c>
      <c r="C379" s="2" t="e">
        <f t="shared" si="20"/>
        <v>#VALUE!</v>
      </c>
      <c r="D379" s="2" t="str">
        <f>PROPER(TRIM(Raw_Data!C379))</f>
        <v>Diya Singh</v>
      </c>
      <c r="E379" s="2" t="str">
        <f>PROPER(TRIM(Raw_Data!D379))</f>
        <v>East</v>
      </c>
      <c r="F379" s="2" t="str">
        <f>PROPER(TRIM(Raw_Data!E379))</f>
        <v>Office Supplies</v>
      </c>
      <c r="G379" s="2" t="str">
        <f>PROPER(TRIM(Raw_Data!F379))</f>
        <v>Binders</v>
      </c>
      <c r="H379" s="2" t="str">
        <f>Raw_Data!G379</f>
        <v>ClampBind Pro</v>
      </c>
      <c r="I379" s="2">
        <f>Raw_Data!H379</f>
        <v>10</v>
      </c>
      <c r="J379" s="4">
        <f>Raw_Data!I379</f>
        <v>217.71</v>
      </c>
      <c r="K379" s="4">
        <f>Raw_Data!J379</f>
        <v>104.5</v>
      </c>
      <c r="L379" s="5">
        <f>IF(Raw_Data!K379="",0,Raw_Data!K379)</f>
        <v>0.2</v>
      </c>
      <c r="M379" s="4">
        <f t="shared" si="21"/>
        <v>1741.68</v>
      </c>
      <c r="N379" s="4">
        <f t="shared" si="22"/>
        <v>696.68</v>
      </c>
      <c r="O379" s="6">
        <f t="shared" si="23"/>
        <v>0.40000459326627158</v>
      </c>
    </row>
    <row r="380" spans="1:15" ht="15" customHeight="1" x14ac:dyDescent="0.3">
      <c r="A380" s="2">
        <f>Raw_Data!A380</f>
        <v>100379</v>
      </c>
      <c r="B380" s="3">
        <f>DATEVALUE(Raw_Data!B380)</f>
        <v>45401</v>
      </c>
      <c r="C380" s="2" t="str">
        <f t="shared" si="20"/>
        <v>Apr-2024</v>
      </c>
      <c r="D380" s="2" t="str">
        <f>PROPER(TRIM(Raw_Data!C380))</f>
        <v>Nikhil Joshi</v>
      </c>
      <c r="E380" s="2" t="str">
        <f>PROPER(TRIM(Raw_Data!D380))</f>
        <v>South</v>
      </c>
      <c r="F380" s="2" t="str">
        <f>PROPER(TRIM(Raw_Data!E380))</f>
        <v>Clothing</v>
      </c>
      <c r="G380" s="2" t="str">
        <f>PROPER(TRIM(Raw_Data!F380))</f>
        <v>Shoes</v>
      </c>
      <c r="H380" s="2" t="str">
        <f>Raw_Data!G380</f>
        <v>WalkEase Casual</v>
      </c>
      <c r="I380" s="2">
        <f>Raw_Data!H380</f>
        <v>6</v>
      </c>
      <c r="J380" s="4">
        <f>Raw_Data!I380</f>
        <v>1818.59</v>
      </c>
      <c r="K380" s="4">
        <f>Raw_Data!J380</f>
        <v>909.3</v>
      </c>
      <c r="L380" s="5">
        <f>IF(Raw_Data!K380="",0,Raw_Data!K380)</f>
        <v>0.15</v>
      </c>
      <c r="M380" s="4">
        <f t="shared" si="21"/>
        <v>9274.81</v>
      </c>
      <c r="N380" s="4">
        <f t="shared" si="22"/>
        <v>3819.01</v>
      </c>
      <c r="O380" s="6">
        <f t="shared" si="23"/>
        <v>0.41176153473763888</v>
      </c>
    </row>
    <row r="381" spans="1:15" ht="15" customHeight="1" x14ac:dyDescent="0.3">
      <c r="A381" s="2">
        <f>Raw_Data!A381</f>
        <v>100380</v>
      </c>
      <c r="B381" s="3">
        <f>DATEVALUE(Raw_Data!B381)</f>
        <v>45637</v>
      </c>
      <c r="C381" s="2" t="str">
        <f t="shared" si="20"/>
        <v>Dec-2024</v>
      </c>
      <c r="D381" s="2" t="str">
        <f>PROPER(TRIM(Raw_Data!C381))</f>
        <v>Kabir Rao</v>
      </c>
      <c r="E381" s="2" t="str">
        <f>PROPER(TRIM(Raw_Data!D381))</f>
        <v>West</v>
      </c>
      <c r="F381" s="2" t="str">
        <f>PROPER(TRIM(Raw_Data!E381))</f>
        <v>Furniture</v>
      </c>
      <c r="G381" s="2" t="str">
        <f>PROPER(TRIM(Raw_Data!F381))</f>
        <v>Cabinets</v>
      </c>
      <c r="H381" s="2" t="str">
        <f>Raw_Data!G381</f>
        <v>StorageMax Wood</v>
      </c>
      <c r="I381" s="2">
        <f>Raw_Data!H381</f>
        <v>10</v>
      </c>
      <c r="J381" s="4">
        <f>Raw_Data!I381</f>
        <v>4834.7</v>
      </c>
      <c r="K381" s="4">
        <f>Raw_Data!J381</f>
        <v>3045.86</v>
      </c>
      <c r="L381" s="5">
        <f>IF(Raw_Data!K381="",0,Raw_Data!K381)</f>
        <v>0</v>
      </c>
      <c r="M381" s="4">
        <f t="shared" si="21"/>
        <v>48347</v>
      </c>
      <c r="N381" s="4">
        <f t="shared" si="22"/>
        <v>17888.400000000001</v>
      </c>
      <c r="O381" s="6">
        <f t="shared" si="23"/>
        <v>0.3700002068380665</v>
      </c>
    </row>
    <row r="382" spans="1:15" ht="15" customHeight="1" x14ac:dyDescent="0.3">
      <c r="A382" s="2">
        <f>Raw_Data!A382</f>
        <v>100381</v>
      </c>
      <c r="B382" s="3" t="e">
        <f>DATEVALUE(Raw_Data!B382)</f>
        <v>#VALUE!</v>
      </c>
      <c r="C382" s="2" t="e">
        <f t="shared" si="20"/>
        <v>#VALUE!</v>
      </c>
      <c r="D382" s="2" t="str">
        <f>PROPER(TRIM(Raw_Data!C382))</f>
        <v>Tanvi Rao</v>
      </c>
      <c r="E382" s="2" t="str">
        <f>PROPER(TRIM(Raw_Data!D382))</f>
        <v>North</v>
      </c>
      <c r="F382" s="2" t="str">
        <f>PROPER(TRIM(Raw_Data!E382))</f>
        <v>Furniture</v>
      </c>
      <c r="G382" s="2" t="str">
        <f>PROPER(TRIM(Raw_Data!F382))</f>
        <v>Cabinets</v>
      </c>
      <c r="H382" s="2" t="str">
        <f>Raw_Data!G382</f>
        <v>StorageMax Wood</v>
      </c>
      <c r="I382" s="2">
        <f>Raw_Data!H382</f>
        <v>8</v>
      </c>
      <c r="J382" s="4">
        <f>Raw_Data!I382</f>
        <v>4641.3599999999997</v>
      </c>
      <c r="K382" s="4">
        <f>Raw_Data!J382</f>
        <v>2924.05</v>
      </c>
      <c r="L382" s="5">
        <f>IF(Raw_Data!K382="",0,Raw_Data!K382)</f>
        <v>0.2</v>
      </c>
      <c r="M382" s="4">
        <f t="shared" si="21"/>
        <v>29704.7</v>
      </c>
      <c r="N382" s="4">
        <f t="shared" si="22"/>
        <v>6312.3</v>
      </c>
      <c r="O382" s="6">
        <f t="shared" si="23"/>
        <v>0.21250172531619577</v>
      </c>
    </row>
    <row r="383" spans="1:15" ht="15" customHeight="1" x14ac:dyDescent="0.3">
      <c r="A383" s="2">
        <f>Raw_Data!A383</f>
        <v>100382</v>
      </c>
      <c r="B383" s="3">
        <f>DATEVALUE(Raw_Data!B383)</f>
        <v>45450</v>
      </c>
      <c r="C383" s="2" t="str">
        <f t="shared" si="20"/>
        <v>Jun-2024</v>
      </c>
      <c r="D383" s="2" t="str">
        <f>PROPER(TRIM(Raw_Data!C383))</f>
        <v>Karan Agarwal</v>
      </c>
      <c r="E383" s="2" t="str">
        <f>PROPER(TRIM(Raw_Data!D383))</f>
        <v>East</v>
      </c>
      <c r="F383" s="2" t="str">
        <f>PROPER(TRIM(Raw_Data!E383))</f>
        <v>Electronics</v>
      </c>
      <c r="G383" s="2" t="str">
        <f>PROPER(TRIM(Raw_Data!F383))</f>
        <v>Keyboards</v>
      </c>
      <c r="H383" s="2" t="str">
        <f>Raw_Data!G383</f>
        <v>ClickType Mech</v>
      </c>
      <c r="I383" s="2">
        <f>Raw_Data!H383</f>
        <v>1</v>
      </c>
      <c r="J383" s="4">
        <f>Raw_Data!I383</f>
        <v>2207.11</v>
      </c>
      <c r="K383" s="4">
        <f>Raw_Data!J383</f>
        <v>1213.9100000000001</v>
      </c>
      <c r="L383" s="5">
        <f>IF(Raw_Data!K383="",0,Raw_Data!K383)</f>
        <v>0.05</v>
      </c>
      <c r="M383" s="4">
        <f t="shared" si="21"/>
        <v>2096.75</v>
      </c>
      <c r="N383" s="4">
        <f t="shared" si="22"/>
        <v>882.84</v>
      </c>
      <c r="O383" s="6">
        <f t="shared" si="23"/>
        <v>0.42105162751877906</v>
      </c>
    </row>
    <row r="384" spans="1:15" ht="15" customHeight="1" x14ac:dyDescent="0.3">
      <c r="A384" s="2">
        <f>Raw_Data!A384</f>
        <v>100383</v>
      </c>
      <c r="B384" s="3">
        <f>DATEVALUE(Raw_Data!B384)</f>
        <v>45538</v>
      </c>
      <c r="C384" s="2" t="str">
        <f t="shared" si="20"/>
        <v>Sep-2024</v>
      </c>
      <c r="D384" s="2" t="str">
        <f>PROPER(TRIM(Raw_Data!C384))</f>
        <v>Manoj Das</v>
      </c>
      <c r="E384" s="2" t="str">
        <f>PROPER(TRIM(Raw_Data!D384))</f>
        <v>East</v>
      </c>
      <c r="F384" s="2" t="str">
        <f>PROPER(TRIM(Raw_Data!E384))</f>
        <v>Office Supplies</v>
      </c>
      <c r="G384" s="2" t="str">
        <f>PROPER(TRIM(Raw_Data!F384))</f>
        <v>Binders</v>
      </c>
      <c r="H384" s="2" t="str">
        <f>Raw_Data!G384</f>
        <v>ClampBind Pro</v>
      </c>
      <c r="I384" s="2">
        <f>Raw_Data!H384</f>
        <v>4</v>
      </c>
      <c r="J384" s="4">
        <f>Raw_Data!I384</f>
        <v>200.23</v>
      </c>
      <c r="K384" s="4">
        <f>Raw_Data!J384</f>
        <v>96.11</v>
      </c>
      <c r="L384" s="5">
        <f>IF(Raw_Data!K384="",0,Raw_Data!K384)</f>
        <v>0</v>
      </c>
      <c r="M384" s="4">
        <f t="shared" si="21"/>
        <v>800.92</v>
      </c>
      <c r="N384" s="4">
        <f t="shared" si="22"/>
        <v>416.48</v>
      </c>
      <c r="O384" s="6">
        <f t="shared" si="23"/>
        <v>0.52000199770264199</v>
      </c>
    </row>
    <row r="385" spans="1:15" ht="15" customHeight="1" x14ac:dyDescent="0.3">
      <c r="A385" s="2">
        <f>Raw_Data!A385</f>
        <v>100384</v>
      </c>
      <c r="B385" s="3" t="e">
        <f>DATEVALUE(Raw_Data!B385)</f>
        <v>#VALUE!</v>
      </c>
      <c r="C385" s="2" t="e">
        <f t="shared" si="20"/>
        <v>#VALUE!</v>
      </c>
      <c r="D385" s="2" t="str">
        <f>PROPER(TRIM(Raw_Data!C385))</f>
        <v>Yash Joshi</v>
      </c>
      <c r="E385" s="2" t="str">
        <f>PROPER(TRIM(Raw_Data!D385))</f>
        <v>North</v>
      </c>
      <c r="F385" s="2" t="str">
        <f>PROPER(TRIM(Raw_Data!E385))</f>
        <v>Electronics</v>
      </c>
      <c r="G385" s="2" t="str">
        <f>PROPER(TRIM(Raw_Data!F385))</f>
        <v>Monitors</v>
      </c>
      <c r="H385" s="2" t="str">
        <f>Raw_Data!G385</f>
        <v>WideView 27</v>
      </c>
      <c r="I385" s="2">
        <f>Raw_Data!H385</f>
        <v>2</v>
      </c>
      <c r="J385" s="4">
        <f>Raw_Data!I385</f>
        <v>14389.98</v>
      </c>
      <c r="K385" s="4">
        <f>Raw_Data!J385</f>
        <v>8633.99</v>
      </c>
      <c r="L385" s="5">
        <f>IF(Raw_Data!K385="",0,Raw_Data!K385)</f>
        <v>0.05</v>
      </c>
      <c r="M385" s="4">
        <f t="shared" si="21"/>
        <v>27340.959999999999</v>
      </c>
      <c r="N385" s="4">
        <f t="shared" si="22"/>
        <v>10072.98</v>
      </c>
      <c r="O385" s="6">
        <f t="shared" si="23"/>
        <v>0.36842086013073427</v>
      </c>
    </row>
    <row r="386" spans="1:15" ht="15" customHeight="1" x14ac:dyDescent="0.3">
      <c r="A386" s="2">
        <f>Raw_Data!A386</f>
        <v>100385</v>
      </c>
      <c r="B386" s="3">
        <f>DATEVALUE(Raw_Data!B386)</f>
        <v>45363</v>
      </c>
      <c r="C386" s="2" t="str">
        <f t="shared" ref="C386:C449" si="24">TEXT(B386,"mmm-yyyy")</f>
        <v>Mar-2024</v>
      </c>
      <c r="D386" s="2" t="str">
        <f>PROPER(TRIM(Raw_Data!C386))</f>
        <v>Vivaan Joshi</v>
      </c>
      <c r="E386" s="2" t="str">
        <f>PROPER(TRIM(Raw_Data!D386))</f>
        <v>East</v>
      </c>
      <c r="F386" s="2" t="str">
        <f>PROPER(TRIM(Raw_Data!E386))</f>
        <v>Furniture</v>
      </c>
      <c r="G386" s="2" t="str">
        <f>PROPER(TRIM(Raw_Data!F386))</f>
        <v>Chairs</v>
      </c>
      <c r="H386" s="2" t="str">
        <f>Raw_Data!G386</f>
        <v>ErgoComfort</v>
      </c>
      <c r="I386" s="2">
        <f>Raw_Data!H386</f>
        <v>6</v>
      </c>
      <c r="J386" s="4">
        <f>Raw_Data!I386</f>
        <v>8584.4500000000007</v>
      </c>
      <c r="K386" s="4">
        <f>Raw_Data!J386</f>
        <v>5150.67</v>
      </c>
      <c r="L386" s="5">
        <f>IF(Raw_Data!K386="",0,Raw_Data!K386)</f>
        <v>0.15</v>
      </c>
      <c r="M386" s="4">
        <f t="shared" ref="M386:M449" si="25">ROUND(I386*J386*(1-L386),2)</f>
        <v>43780.7</v>
      </c>
      <c r="N386" s="4">
        <f t="shared" ref="N386:N449" si="26">ROUND(M386-(I386*K386),2)</f>
        <v>12876.68</v>
      </c>
      <c r="O386" s="6">
        <f t="shared" ref="O386:O449" si="27">IFERROR(N386/M386,0)</f>
        <v>0.29411772767452327</v>
      </c>
    </row>
    <row r="387" spans="1:15" ht="15" customHeight="1" x14ac:dyDescent="0.3">
      <c r="A387" s="2">
        <f>Raw_Data!A387</f>
        <v>100386</v>
      </c>
      <c r="B387" s="3" t="e">
        <f>DATEVALUE(Raw_Data!B387)</f>
        <v>#VALUE!</v>
      </c>
      <c r="C387" s="2" t="e">
        <f t="shared" si="24"/>
        <v>#VALUE!</v>
      </c>
      <c r="D387" s="2" t="str">
        <f>PROPER(TRIM(Raw_Data!C387))</f>
        <v>Simran Mehta</v>
      </c>
      <c r="E387" s="2" t="str">
        <f>PROPER(TRIM(Raw_Data!D387))</f>
        <v>North</v>
      </c>
      <c r="F387" s="2" t="str">
        <f>PROPER(TRIM(Raw_Data!E387))</f>
        <v>Furniture</v>
      </c>
      <c r="G387" s="2" t="str">
        <f>PROPER(TRIM(Raw_Data!F387))</f>
        <v>Desks</v>
      </c>
      <c r="H387" s="2" t="str">
        <f>Raw_Data!G387</f>
        <v>StudyMax L</v>
      </c>
      <c r="I387" s="2">
        <f>Raw_Data!H387</f>
        <v>10</v>
      </c>
      <c r="J387" s="4">
        <f>Raw_Data!I387</f>
        <v>6496.62</v>
      </c>
      <c r="K387" s="4">
        <f>Raw_Data!J387</f>
        <v>3897.97</v>
      </c>
      <c r="L387" s="5">
        <f>IF(Raw_Data!K387="",0,Raw_Data!K387)</f>
        <v>0.1</v>
      </c>
      <c r="M387" s="4">
        <f t="shared" si="25"/>
        <v>58469.58</v>
      </c>
      <c r="N387" s="4">
        <f t="shared" si="26"/>
        <v>19489.88</v>
      </c>
      <c r="O387" s="6">
        <f t="shared" si="27"/>
        <v>0.33333367539154551</v>
      </c>
    </row>
    <row r="388" spans="1:15" ht="15" customHeight="1" x14ac:dyDescent="0.3">
      <c r="A388" s="2">
        <f>Raw_Data!A388</f>
        <v>100387</v>
      </c>
      <c r="B388" s="3">
        <f>DATEVALUE(Raw_Data!B388)</f>
        <v>45329</v>
      </c>
      <c r="C388" s="2" t="str">
        <f t="shared" si="24"/>
        <v>Feb-2024</v>
      </c>
      <c r="D388" s="2" t="str">
        <f>PROPER(TRIM(Raw_Data!C388))</f>
        <v>Pooja Nair</v>
      </c>
      <c r="E388" s="2" t="str">
        <f>PROPER(TRIM(Raw_Data!D388))</f>
        <v>South</v>
      </c>
      <c r="F388" s="2" t="str">
        <f>PROPER(TRIM(Raw_Data!E388))</f>
        <v>Office Supplies</v>
      </c>
      <c r="G388" s="2" t="str">
        <f>PROPER(TRIM(Raw_Data!F388))</f>
        <v>Staplers</v>
      </c>
      <c r="H388" s="2" t="str">
        <f>Raw_Data!G388</f>
        <v>HeavyDuty Pro</v>
      </c>
      <c r="I388" s="2">
        <f>Raw_Data!H388</f>
        <v>7</v>
      </c>
      <c r="J388" s="4">
        <f>Raw_Data!I388</f>
        <v>477.24</v>
      </c>
      <c r="K388" s="4">
        <f>Raw_Data!J388</f>
        <v>238.62</v>
      </c>
      <c r="L388" s="5">
        <f>IF(Raw_Data!K388="",0,Raw_Data!K388)</f>
        <v>0</v>
      </c>
      <c r="M388" s="4">
        <f t="shared" si="25"/>
        <v>3340.68</v>
      </c>
      <c r="N388" s="4">
        <f t="shared" si="26"/>
        <v>1670.34</v>
      </c>
      <c r="O388" s="6">
        <f t="shared" si="27"/>
        <v>0.5</v>
      </c>
    </row>
    <row r="389" spans="1:15" ht="15" customHeight="1" x14ac:dyDescent="0.3">
      <c r="A389" s="2">
        <f>Raw_Data!A389</f>
        <v>100388</v>
      </c>
      <c r="B389" s="3">
        <f>DATEVALUE(Raw_Data!B389)</f>
        <v>45634</v>
      </c>
      <c r="C389" s="2" t="str">
        <f t="shared" si="24"/>
        <v>Dec-2024</v>
      </c>
      <c r="D389" s="2" t="str">
        <f>PROPER(TRIM(Raw_Data!C389))</f>
        <v>Karan Chopra</v>
      </c>
      <c r="E389" s="2" t="str">
        <f>PROPER(TRIM(Raw_Data!D389))</f>
        <v>North</v>
      </c>
      <c r="F389" s="2" t="str">
        <f>PROPER(TRIM(Raw_Data!E389))</f>
        <v>Clothing</v>
      </c>
      <c r="G389" s="2" t="str">
        <f>PROPER(TRIM(Raw_Data!F389))</f>
        <v>Bags</v>
      </c>
      <c r="H389" s="2" t="str">
        <f>Raw_Data!G389</f>
        <v>CityCarry Backpack</v>
      </c>
      <c r="I389" s="2">
        <f>Raw_Data!H389</f>
        <v>2</v>
      </c>
      <c r="J389" s="4">
        <f>Raw_Data!I389</f>
        <v>1584.67</v>
      </c>
      <c r="K389" s="4">
        <f>Raw_Data!J389</f>
        <v>792.34</v>
      </c>
      <c r="L389" s="5">
        <f>IF(Raw_Data!K389="",0,Raw_Data!K389)</f>
        <v>0</v>
      </c>
      <c r="M389" s="4">
        <f t="shared" si="25"/>
        <v>3169.34</v>
      </c>
      <c r="N389" s="4">
        <f t="shared" si="26"/>
        <v>1584.66</v>
      </c>
      <c r="O389" s="6">
        <f t="shared" si="27"/>
        <v>0.49999684476894241</v>
      </c>
    </row>
    <row r="390" spans="1:15" ht="15" customHeight="1" x14ac:dyDescent="0.3">
      <c r="A390" s="2">
        <f>Raw_Data!A390</f>
        <v>100389</v>
      </c>
      <c r="B390" s="3">
        <f>DATEVALUE(Raw_Data!B390)</f>
        <v>45516</v>
      </c>
      <c r="C390" s="2" t="str">
        <f t="shared" si="24"/>
        <v>Aug-2024</v>
      </c>
      <c r="D390" s="2" t="str">
        <f>PROPER(TRIM(Raw_Data!C390))</f>
        <v>Kabir Iyer</v>
      </c>
      <c r="E390" s="2" t="str">
        <f>PROPER(TRIM(Raw_Data!D390))</f>
        <v>East</v>
      </c>
      <c r="F390" s="2" t="str">
        <f>PROPER(TRIM(Raw_Data!E390))</f>
        <v>Electronics</v>
      </c>
      <c r="G390" s="2" t="str">
        <f>PROPER(TRIM(Raw_Data!F390))</f>
        <v>Laptops</v>
      </c>
      <c r="H390" s="2" t="str">
        <f>Raw_Data!G390</f>
        <v>ProBook 14</v>
      </c>
      <c r="I390" s="2">
        <f>Raw_Data!H390</f>
        <v>3</v>
      </c>
      <c r="J390" s="4">
        <f>Raw_Data!I390</f>
        <v>47762.37</v>
      </c>
      <c r="K390" s="4">
        <f>Raw_Data!J390</f>
        <v>31045.54</v>
      </c>
      <c r="L390" s="5">
        <f>IF(Raw_Data!K390="",0,Raw_Data!K390)</f>
        <v>0</v>
      </c>
      <c r="M390" s="4">
        <f t="shared" si="25"/>
        <v>143287.10999999999</v>
      </c>
      <c r="N390" s="4">
        <f t="shared" si="26"/>
        <v>50150.49</v>
      </c>
      <c r="O390" s="6">
        <f t="shared" si="27"/>
        <v>0.35000001046849227</v>
      </c>
    </row>
    <row r="391" spans="1:15" ht="15" customHeight="1" x14ac:dyDescent="0.3">
      <c r="A391" s="2">
        <f>Raw_Data!A391</f>
        <v>100390</v>
      </c>
      <c r="B391" s="3">
        <f>DATEVALUE(Raw_Data!B391)</f>
        <v>45332</v>
      </c>
      <c r="C391" s="2" t="str">
        <f t="shared" si="24"/>
        <v>Feb-2024</v>
      </c>
      <c r="D391" s="2" t="str">
        <f>PROPER(TRIM(Raw_Data!C391))</f>
        <v>Ishaan Joshi</v>
      </c>
      <c r="E391" s="2" t="str">
        <f>PROPER(TRIM(Raw_Data!D391))</f>
        <v>West</v>
      </c>
      <c r="F391" s="2" t="str">
        <f>PROPER(TRIM(Raw_Data!E391))</f>
        <v>Electronics</v>
      </c>
      <c r="G391" s="2" t="str">
        <f>PROPER(TRIM(Raw_Data!F391))</f>
        <v>Headphones</v>
      </c>
      <c r="H391" s="2" t="str">
        <f>Raw_Data!G391</f>
        <v>SoundMax Pro</v>
      </c>
      <c r="I391" s="2">
        <f>Raw_Data!H391</f>
        <v>1</v>
      </c>
      <c r="J391" s="4">
        <f>Raw_Data!I391</f>
        <v>2632.74</v>
      </c>
      <c r="K391" s="4">
        <f>Raw_Data!J391</f>
        <v>1448.01</v>
      </c>
      <c r="L391" s="5">
        <f>IF(Raw_Data!K391="",0,Raw_Data!K391)</f>
        <v>0</v>
      </c>
      <c r="M391" s="4">
        <f t="shared" si="25"/>
        <v>2632.74</v>
      </c>
      <c r="N391" s="4">
        <f t="shared" si="26"/>
        <v>1184.73</v>
      </c>
      <c r="O391" s="6">
        <f t="shared" si="27"/>
        <v>0.44999886050274623</v>
      </c>
    </row>
    <row r="392" spans="1:15" ht="15" customHeight="1" x14ac:dyDescent="0.3">
      <c r="A392" s="2">
        <f>Raw_Data!A392</f>
        <v>100391</v>
      </c>
      <c r="B392" s="3" t="e">
        <f>DATEVALUE(Raw_Data!B392)</f>
        <v>#VALUE!</v>
      </c>
      <c r="C392" s="2" t="e">
        <f t="shared" si="24"/>
        <v>#VALUE!</v>
      </c>
      <c r="D392" s="2" t="str">
        <f>PROPER(TRIM(Raw_Data!C392))</f>
        <v>Saanvi Reddy</v>
      </c>
      <c r="E392" s="2" t="str">
        <f>PROPER(TRIM(Raw_Data!D392))</f>
        <v>South</v>
      </c>
      <c r="F392" s="2" t="str">
        <f>PROPER(TRIM(Raw_Data!E392))</f>
        <v>Furniture</v>
      </c>
      <c r="G392" s="2" t="str">
        <f>PROPER(TRIM(Raw_Data!F392))</f>
        <v>Bookshelves</v>
      </c>
      <c r="H392" s="2" t="str">
        <f>Raw_Data!G392</f>
        <v>WoodCraft 5-Tier</v>
      </c>
      <c r="I392" s="2">
        <f>Raw_Data!H392</f>
        <v>2</v>
      </c>
      <c r="J392" s="4">
        <f>Raw_Data!I392</f>
        <v>3294.34</v>
      </c>
      <c r="K392" s="4">
        <f>Raw_Data!J392</f>
        <v>1976.6</v>
      </c>
      <c r="L392" s="5">
        <f>IF(Raw_Data!K392="",0,Raw_Data!K392)</f>
        <v>0.15</v>
      </c>
      <c r="M392" s="4">
        <f t="shared" si="25"/>
        <v>5600.38</v>
      </c>
      <c r="N392" s="4">
        <f t="shared" si="26"/>
        <v>1647.18</v>
      </c>
      <c r="O392" s="6">
        <f t="shared" si="27"/>
        <v>0.29411932761705456</v>
      </c>
    </row>
    <row r="393" spans="1:15" ht="15" customHeight="1" x14ac:dyDescent="0.3">
      <c r="A393" s="2">
        <f>Raw_Data!A393</f>
        <v>100392</v>
      </c>
      <c r="B393" s="3">
        <f>DATEVALUE(Raw_Data!B393)</f>
        <v>45315</v>
      </c>
      <c r="C393" s="2" t="str">
        <f t="shared" si="24"/>
        <v>Jan-2024</v>
      </c>
      <c r="D393" s="2" t="str">
        <f>PROPER(TRIM(Raw_Data!C393))</f>
        <v>Meera Iyer</v>
      </c>
      <c r="E393" s="2" t="str">
        <f>PROPER(TRIM(Raw_Data!D393))</f>
        <v>North</v>
      </c>
      <c r="F393" s="2" t="str">
        <f>PROPER(TRIM(Raw_Data!E393))</f>
        <v>Furniture</v>
      </c>
      <c r="G393" s="2" t="str">
        <f>PROPER(TRIM(Raw_Data!F393))</f>
        <v>Desks</v>
      </c>
      <c r="H393" s="2" t="str">
        <f>Raw_Data!G393</f>
        <v>CornerFit Desk</v>
      </c>
      <c r="I393" s="2">
        <f>Raw_Data!H393</f>
        <v>3</v>
      </c>
      <c r="J393" s="4">
        <f>Raw_Data!I393</f>
        <v>10458.719999999999</v>
      </c>
      <c r="K393" s="4">
        <f>Raw_Data!J393</f>
        <v>6066.05</v>
      </c>
      <c r="L393" s="5">
        <f>IF(Raw_Data!K393="",0,Raw_Data!K393)</f>
        <v>0.1</v>
      </c>
      <c r="M393" s="4">
        <f t="shared" si="25"/>
        <v>28238.54</v>
      </c>
      <c r="N393" s="4">
        <f t="shared" si="26"/>
        <v>10040.39</v>
      </c>
      <c r="O393" s="6">
        <f t="shared" si="27"/>
        <v>0.3555562716769351</v>
      </c>
    </row>
    <row r="394" spans="1:15" ht="15" customHeight="1" x14ac:dyDescent="0.3">
      <c r="A394" s="2">
        <f>Raw_Data!A394</f>
        <v>100393</v>
      </c>
      <c r="B394" s="3">
        <f>DATEVALUE(Raw_Data!B394)</f>
        <v>45389</v>
      </c>
      <c r="C394" s="2" t="str">
        <f t="shared" si="24"/>
        <v>Apr-2024</v>
      </c>
      <c r="D394" s="2" t="str">
        <f>PROPER(TRIM(Raw_Data!C394))</f>
        <v>Ishaan Bose</v>
      </c>
      <c r="E394" s="2" t="str">
        <f>PROPER(TRIM(Raw_Data!D394))</f>
        <v>North</v>
      </c>
      <c r="F394" s="2" t="str">
        <f>PROPER(TRIM(Raw_Data!E394))</f>
        <v>Furniture</v>
      </c>
      <c r="G394" s="2" t="str">
        <f>PROPER(TRIM(Raw_Data!F394))</f>
        <v>Bookshelves</v>
      </c>
      <c r="H394" s="2" t="str">
        <f>Raw_Data!G394</f>
        <v>MetalFrame Open</v>
      </c>
      <c r="I394" s="2">
        <f>Raw_Data!H394</f>
        <v>7</v>
      </c>
      <c r="J394" s="4">
        <f>Raw_Data!I394</f>
        <v>2835.78</v>
      </c>
      <c r="K394" s="4">
        <f>Raw_Data!J394</f>
        <v>1758.18</v>
      </c>
      <c r="L394" s="5">
        <f>IF(Raw_Data!K394="",0,Raw_Data!K394)</f>
        <v>0</v>
      </c>
      <c r="M394" s="4">
        <f t="shared" si="25"/>
        <v>19850.46</v>
      </c>
      <c r="N394" s="4">
        <f t="shared" si="26"/>
        <v>7543.2</v>
      </c>
      <c r="O394" s="6">
        <f t="shared" si="27"/>
        <v>0.38000126949199164</v>
      </c>
    </row>
    <row r="395" spans="1:15" ht="15" customHeight="1" x14ac:dyDescent="0.3">
      <c r="A395" s="2">
        <f>Raw_Data!A395</f>
        <v>100394</v>
      </c>
      <c r="B395" s="3" t="e">
        <f>DATEVALUE(Raw_Data!B395)</f>
        <v>#VALUE!</v>
      </c>
      <c r="C395" s="2" t="e">
        <f t="shared" si="24"/>
        <v>#VALUE!</v>
      </c>
      <c r="D395" s="2" t="str">
        <f>PROPER(TRIM(Raw_Data!C395))</f>
        <v>Arjun Shah</v>
      </c>
      <c r="E395" s="2" t="str">
        <f>PROPER(TRIM(Raw_Data!D395))</f>
        <v>East</v>
      </c>
      <c r="F395" s="2" t="str">
        <f>PROPER(TRIM(Raw_Data!E395))</f>
        <v>Clothing</v>
      </c>
      <c r="G395" s="2" t="str">
        <f>PROPER(TRIM(Raw_Data!F395))</f>
        <v>T-Shirts</v>
      </c>
      <c r="H395" s="2" t="str">
        <f>Raw_Data!G395</f>
        <v>ActiveDry Sport</v>
      </c>
      <c r="I395" s="2">
        <f>Raw_Data!H395</f>
        <v>5</v>
      </c>
      <c r="J395" s="4">
        <f>Raw_Data!I395</f>
        <v>656.11</v>
      </c>
      <c r="K395" s="4">
        <f>Raw_Data!J395</f>
        <v>295.25</v>
      </c>
      <c r="L395" s="5">
        <f>IF(Raw_Data!K395="",0,Raw_Data!K395)</f>
        <v>0.15</v>
      </c>
      <c r="M395" s="4">
        <f t="shared" si="25"/>
        <v>2788.47</v>
      </c>
      <c r="N395" s="4">
        <f t="shared" si="26"/>
        <v>1312.22</v>
      </c>
      <c r="O395" s="6">
        <f t="shared" si="27"/>
        <v>0.47058781338870426</v>
      </c>
    </row>
    <row r="396" spans="1:15" ht="15" customHeight="1" x14ac:dyDescent="0.3">
      <c r="A396" s="2">
        <f>Raw_Data!A396</f>
        <v>100395</v>
      </c>
      <c r="B396" s="3">
        <f>DATEVALUE(Raw_Data!B396)</f>
        <v>45521</v>
      </c>
      <c r="C396" s="2" t="str">
        <f t="shared" si="24"/>
        <v>Aug-2024</v>
      </c>
      <c r="D396" s="2" t="str">
        <f>PROPER(TRIM(Raw_Data!C396))</f>
        <v>Ishaan Patel</v>
      </c>
      <c r="E396" s="2" t="str">
        <f>PROPER(TRIM(Raw_Data!D396))</f>
        <v>East</v>
      </c>
      <c r="F396" s="2" t="str">
        <f>PROPER(TRIM(Raw_Data!E396))</f>
        <v>Furniture</v>
      </c>
      <c r="G396" s="2" t="str">
        <f>PROPER(TRIM(Raw_Data!F396))</f>
        <v>Chairs</v>
      </c>
      <c r="H396" s="2" t="str">
        <f>Raw_Data!G396</f>
        <v>MeshFlex Pro</v>
      </c>
      <c r="I396" s="2">
        <f>Raw_Data!H396</f>
        <v>8</v>
      </c>
      <c r="J396" s="4">
        <f>Raw_Data!I396</f>
        <v>7365.34</v>
      </c>
      <c r="K396" s="4">
        <f>Raw_Data!J396</f>
        <v>4566.51</v>
      </c>
      <c r="L396" s="5">
        <f>IF(Raw_Data!K396="",0,Raw_Data!K396)</f>
        <v>0.1</v>
      </c>
      <c r="M396" s="4">
        <f t="shared" si="25"/>
        <v>53030.45</v>
      </c>
      <c r="N396" s="4">
        <f t="shared" si="26"/>
        <v>16498.37</v>
      </c>
      <c r="O396" s="6">
        <f t="shared" si="27"/>
        <v>0.31111125777737131</v>
      </c>
    </row>
    <row r="397" spans="1:15" ht="15" customHeight="1" x14ac:dyDescent="0.3">
      <c r="A397" s="2">
        <f>Raw_Data!A397</f>
        <v>100396</v>
      </c>
      <c r="B397" s="3">
        <f>DATEVALUE(Raw_Data!B397)</f>
        <v>45506</v>
      </c>
      <c r="C397" s="2" t="str">
        <f t="shared" si="24"/>
        <v>Aug-2024</v>
      </c>
      <c r="D397" s="2" t="str">
        <f>PROPER(TRIM(Raw_Data!C397))</f>
        <v>Tanvi Das</v>
      </c>
      <c r="E397" s="2" t="str">
        <f>PROPER(TRIM(Raw_Data!D397))</f>
        <v>East</v>
      </c>
      <c r="F397" s="2" t="str">
        <f>PROPER(TRIM(Raw_Data!E397))</f>
        <v>Furniture</v>
      </c>
      <c r="G397" s="2" t="str">
        <f>PROPER(TRIM(Raw_Data!F397))</f>
        <v>Bookshelves</v>
      </c>
      <c r="H397" s="2" t="str">
        <f>Raw_Data!G397</f>
        <v>WoodCraft 5-Tier</v>
      </c>
      <c r="I397" s="2">
        <f>Raw_Data!H397</f>
        <v>10</v>
      </c>
      <c r="J397" s="4">
        <f>Raw_Data!I397</f>
        <v>3603.06</v>
      </c>
      <c r="K397" s="4">
        <f>Raw_Data!J397</f>
        <v>2161.84</v>
      </c>
      <c r="L397" s="5">
        <f>IF(Raw_Data!K397="",0,Raw_Data!K397)</f>
        <v>0.1</v>
      </c>
      <c r="M397" s="4">
        <f t="shared" si="25"/>
        <v>32427.54</v>
      </c>
      <c r="N397" s="4">
        <f t="shared" si="26"/>
        <v>10809.14</v>
      </c>
      <c r="O397" s="6">
        <f t="shared" si="27"/>
        <v>0.33333209981392359</v>
      </c>
    </row>
    <row r="398" spans="1:15" ht="15" customHeight="1" x14ac:dyDescent="0.3">
      <c r="A398" s="2">
        <f>Raw_Data!A398</f>
        <v>100397</v>
      </c>
      <c r="B398" s="3">
        <f>DATEVALUE(Raw_Data!B398)</f>
        <v>45508</v>
      </c>
      <c r="C398" s="2" t="str">
        <f t="shared" si="24"/>
        <v>Aug-2024</v>
      </c>
      <c r="D398" s="2" t="str">
        <f>PROPER(TRIM(Raw_Data!C398))</f>
        <v>Riya Das</v>
      </c>
      <c r="E398" s="2" t="str">
        <f>PROPER(TRIM(Raw_Data!D398))</f>
        <v>West</v>
      </c>
      <c r="F398" s="2" t="str">
        <f>PROPER(TRIM(Raw_Data!E398))</f>
        <v>Office Supplies</v>
      </c>
      <c r="G398" s="2" t="str">
        <f>PROPER(TRIM(Raw_Data!F398))</f>
        <v>Binders</v>
      </c>
      <c r="H398" s="2" t="str">
        <f>Raw_Data!G398</f>
        <v>ClampBind Pro</v>
      </c>
      <c r="I398" s="2">
        <f>Raw_Data!H398</f>
        <v>8</v>
      </c>
      <c r="J398" s="4">
        <f>Raw_Data!I398</f>
        <v>213.46</v>
      </c>
      <c r="K398" s="4">
        <f>Raw_Data!J398</f>
        <v>102.46</v>
      </c>
      <c r="L398" s="5">
        <f>IF(Raw_Data!K398="",0,Raw_Data!K398)</f>
        <v>0</v>
      </c>
      <c r="M398" s="4">
        <f t="shared" si="25"/>
        <v>1707.68</v>
      </c>
      <c r="N398" s="4">
        <f t="shared" si="26"/>
        <v>888</v>
      </c>
      <c r="O398" s="6">
        <f t="shared" si="27"/>
        <v>0.52000374777475866</v>
      </c>
    </row>
    <row r="399" spans="1:15" ht="15" customHeight="1" x14ac:dyDescent="0.3">
      <c r="A399" s="2">
        <f>Raw_Data!A399</f>
        <v>100398</v>
      </c>
      <c r="B399" s="3">
        <f>DATEVALUE(Raw_Data!B399)</f>
        <v>45347</v>
      </c>
      <c r="C399" s="2" t="str">
        <f t="shared" si="24"/>
        <v>Feb-2024</v>
      </c>
      <c r="D399" s="2" t="str">
        <f>PROPER(TRIM(Raw_Data!C399))</f>
        <v>Priya Pillai</v>
      </c>
      <c r="E399" s="2" t="str">
        <f>PROPER(TRIM(Raw_Data!D399))</f>
        <v>North</v>
      </c>
      <c r="F399" s="2" t="str">
        <f>PROPER(TRIM(Raw_Data!E399))</f>
        <v>Furniture</v>
      </c>
      <c r="G399" s="2" t="str">
        <f>PROPER(TRIM(Raw_Data!F399))</f>
        <v>Cabinets</v>
      </c>
      <c r="H399" s="2" t="str">
        <f>Raw_Data!G399</f>
        <v>StorageMax Wood</v>
      </c>
      <c r="I399" s="2">
        <f>Raw_Data!H399</f>
        <v>3</v>
      </c>
      <c r="J399" s="4">
        <f>Raw_Data!I399</f>
        <v>4649.9799999999996</v>
      </c>
      <c r="K399" s="4">
        <f>Raw_Data!J399</f>
        <v>2929.49</v>
      </c>
      <c r="L399" s="5">
        <f>IF(Raw_Data!K399="",0,Raw_Data!K399)</f>
        <v>0.1</v>
      </c>
      <c r="M399" s="4">
        <f t="shared" si="25"/>
        <v>12554.95</v>
      </c>
      <c r="N399" s="4">
        <f t="shared" si="26"/>
        <v>3766.48</v>
      </c>
      <c r="O399" s="6">
        <f t="shared" si="27"/>
        <v>0.29999960175070389</v>
      </c>
    </row>
    <row r="400" spans="1:15" ht="15" customHeight="1" x14ac:dyDescent="0.3">
      <c r="A400" s="2">
        <f>Raw_Data!A400</f>
        <v>100399</v>
      </c>
      <c r="B400" s="3" t="e">
        <f>DATEVALUE(Raw_Data!B400)</f>
        <v>#VALUE!</v>
      </c>
      <c r="C400" s="2" t="e">
        <f t="shared" si="24"/>
        <v>#VALUE!</v>
      </c>
      <c r="D400" s="2" t="str">
        <f>PROPER(TRIM(Raw_Data!C400))</f>
        <v>Vivaan Verma</v>
      </c>
      <c r="E400" s="2" t="str">
        <f>PROPER(TRIM(Raw_Data!D400))</f>
        <v>East</v>
      </c>
      <c r="F400" s="2" t="str">
        <f>PROPER(TRIM(Raw_Data!E400))</f>
        <v>Electronics</v>
      </c>
      <c r="G400" s="2" t="str">
        <f>PROPER(TRIM(Raw_Data!F400))</f>
        <v>Laptops</v>
      </c>
      <c r="H400" s="2" t="str">
        <f>Raw_Data!G400</f>
        <v>UltraSlim X1</v>
      </c>
      <c r="I400" s="2">
        <f>Raw_Data!H400</f>
        <v>2</v>
      </c>
      <c r="J400" s="4">
        <f>Raw_Data!I400</f>
        <v>61992.06</v>
      </c>
      <c r="K400" s="4">
        <f>Raw_Data!J400</f>
        <v>37195.230000000003</v>
      </c>
      <c r="L400" s="5">
        <f>IF(Raw_Data!K400="",0,Raw_Data!K400)</f>
        <v>0.05</v>
      </c>
      <c r="M400" s="4">
        <f t="shared" si="25"/>
        <v>117784.91</v>
      </c>
      <c r="N400" s="4">
        <f t="shared" si="26"/>
        <v>43394.45</v>
      </c>
      <c r="O400" s="6">
        <f t="shared" si="27"/>
        <v>0.36842113306364965</v>
      </c>
    </row>
    <row r="401" spans="1:15" ht="15" customHeight="1" x14ac:dyDescent="0.3">
      <c r="A401" s="2">
        <f>Raw_Data!A401</f>
        <v>100400</v>
      </c>
      <c r="B401" s="3" t="e">
        <f>DATEVALUE(Raw_Data!B401)</f>
        <v>#VALUE!</v>
      </c>
      <c r="C401" s="2" t="e">
        <f t="shared" si="24"/>
        <v>#VALUE!</v>
      </c>
      <c r="D401" s="2" t="str">
        <f>PROPER(TRIM(Raw_Data!C401))</f>
        <v>Neha Shah</v>
      </c>
      <c r="E401" s="2" t="str">
        <f>PROPER(TRIM(Raw_Data!D401))</f>
        <v>East</v>
      </c>
      <c r="F401" s="2" t="str">
        <f>PROPER(TRIM(Raw_Data!E401))</f>
        <v>Clothing</v>
      </c>
      <c r="G401" s="2" t="str">
        <f>PROPER(TRIM(Raw_Data!F401))</f>
        <v>Bags</v>
      </c>
      <c r="H401" s="2" t="str">
        <f>Raw_Data!G401</f>
        <v>CityCarry Backpack</v>
      </c>
      <c r="I401" s="2">
        <f>Raw_Data!H401</f>
        <v>10</v>
      </c>
      <c r="J401" s="4">
        <f>Raw_Data!I401</f>
        <v>1556.63</v>
      </c>
      <c r="K401" s="4">
        <f>Raw_Data!J401</f>
        <v>778.31</v>
      </c>
      <c r="L401" s="5">
        <f>IF(Raw_Data!K401="",0,Raw_Data!K401)</f>
        <v>0.15</v>
      </c>
      <c r="M401" s="4">
        <f t="shared" si="25"/>
        <v>13231.36</v>
      </c>
      <c r="N401" s="4">
        <f t="shared" si="26"/>
        <v>5448.26</v>
      </c>
      <c r="O401" s="6">
        <f t="shared" si="27"/>
        <v>0.41176870707168423</v>
      </c>
    </row>
    <row r="402" spans="1:15" ht="15" customHeight="1" x14ac:dyDescent="0.3">
      <c r="A402" s="2">
        <f>Raw_Data!A402</f>
        <v>100401</v>
      </c>
      <c r="B402" s="3">
        <f>DATEVALUE(Raw_Data!B402)</f>
        <v>45455</v>
      </c>
      <c r="C402" s="2" t="str">
        <f t="shared" si="24"/>
        <v>Jun-2024</v>
      </c>
      <c r="D402" s="2" t="str">
        <f>PROPER(TRIM(Raw_Data!C402))</f>
        <v>Aman Kapoor</v>
      </c>
      <c r="E402" s="2" t="str">
        <f>PROPER(TRIM(Raw_Data!D402))</f>
        <v>East</v>
      </c>
      <c r="F402" s="2" t="str">
        <f>PROPER(TRIM(Raw_Data!E402))</f>
        <v>Office Supplies</v>
      </c>
      <c r="G402" s="2" t="str">
        <f>PROPER(TRIM(Raw_Data!F402))</f>
        <v>Staplers</v>
      </c>
      <c r="H402" s="2" t="str">
        <f>Raw_Data!G402</f>
        <v>ClickFix Standard</v>
      </c>
      <c r="I402" s="2">
        <f>Raw_Data!H402</f>
        <v>1</v>
      </c>
      <c r="J402" s="4">
        <f>Raw_Data!I402</f>
        <v>225.89</v>
      </c>
      <c r="K402" s="4">
        <f>Raw_Data!J402</f>
        <v>112.94</v>
      </c>
      <c r="L402" s="5">
        <f>IF(Raw_Data!K402="",0,Raw_Data!K402)</f>
        <v>0</v>
      </c>
      <c r="M402" s="4">
        <f t="shared" si="25"/>
        <v>225.89</v>
      </c>
      <c r="N402" s="4">
        <f t="shared" si="26"/>
        <v>112.95</v>
      </c>
      <c r="O402" s="6">
        <f t="shared" si="27"/>
        <v>0.50002213466731604</v>
      </c>
    </row>
    <row r="403" spans="1:15" ht="15" customHeight="1" x14ac:dyDescent="0.3">
      <c r="A403" s="2">
        <f>Raw_Data!A403</f>
        <v>100402</v>
      </c>
      <c r="B403" s="3" t="e">
        <f>DATEVALUE(Raw_Data!B403)</f>
        <v>#VALUE!</v>
      </c>
      <c r="C403" s="2" t="e">
        <f t="shared" si="24"/>
        <v>#VALUE!</v>
      </c>
      <c r="D403" s="2" t="str">
        <f>PROPER(TRIM(Raw_Data!C403))</f>
        <v>Vivaan Bose</v>
      </c>
      <c r="E403" s="2" t="str">
        <f>PROPER(TRIM(Raw_Data!D403))</f>
        <v>South</v>
      </c>
      <c r="F403" s="2" t="str">
        <f>PROPER(TRIM(Raw_Data!E403))</f>
        <v>Office Supplies</v>
      </c>
      <c r="G403" s="2" t="str">
        <f>PROPER(TRIM(Raw_Data!F403))</f>
        <v>Paper</v>
      </c>
      <c r="H403" s="2" t="str">
        <f>Raw_Data!G403</f>
        <v>PrintPro A4 Ream</v>
      </c>
      <c r="I403" s="2">
        <f>Raw_Data!H403</f>
        <v>5</v>
      </c>
      <c r="J403" s="4">
        <f>Raw_Data!I403</f>
        <v>270.17</v>
      </c>
      <c r="K403" s="4">
        <f>Raw_Data!J403</f>
        <v>135.08000000000001</v>
      </c>
      <c r="L403" s="5">
        <f>IF(Raw_Data!K403="",0,Raw_Data!K403)</f>
        <v>0</v>
      </c>
      <c r="M403" s="4">
        <f t="shared" si="25"/>
        <v>1350.85</v>
      </c>
      <c r="N403" s="4">
        <f t="shared" si="26"/>
        <v>675.45</v>
      </c>
      <c r="O403" s="6">
        <f t="shared" si="27"/>
        <v>0.50001850686604732</v>
      </c>
    </row>
    <row r="404" spans="1:15" ht="15" customHeight="1" x14ac:dyDescent="0.3">
      <c r="A404" s="2">
        <f>Raw_Data!A404</f>
        <v>100403</v>
      </c>
      <c r="B404" s="3">
        <f>DATEVALUE(Raw_Data!B404)</f>
        <v>45508</v>
      </c>
      <c r="C404" s="2" t="str">
        <f t="shared" si="24"/>
        <v>Aug-2024</v>
      </c>
      <c r="D404" s="2" t="str">
        <f>PROPER(TRIM(Raw_Data!C404))</f>
        <v>Diya Das</v>
      </c>
      <c r="E404" s="2" t="str">
        <f>PROPER(TRIM(Raw_Data!D404))</f>
        <v>North</v>
      </c>
      <c r="F404" s="2" t="str">
        <f>PROPER(TRIM(Raw_Data!E404))</f>
        <v>Office Supplies</v>
      </c>
      <c r="G404" s="2" t="str">
        <f>PROPER(TRIM(Raw_Data!F404))</f>
        <v>Binders</v>
      </c>
      <c r="H404" s="2" t="str">
        <f>Raw_Data!G404</f>
        <v>ClampBind Pro</v>
      </c>
      <c r="I404" s="2">
        <f>Raw_Data!H404</f>
        <v>6</v>
      </c>
      <c r="J404" s="4">
        <f>Raw_Data!I404</f>
        <v>215.13</v>
      </c>
      <c r="K404" s="4">
        <f>Raw_Data!J404</f>
        <v>103.26</v>
      </c>
      <c r="L404" s="5">
        <f>IF(Raw_Data!K404="",0,Raw_Data!K404)</f>
        <v>0.2</v>
      </c>
      <c r="M404" s="4">
        <f t="shared" si="25"/>
        <v>1032.6199999999999</v>
      </c>
      <c r="N404" s="4">
        <f t="shared" si="26"/>
        <v>413.06</v>
      </c>
      <c r="O404" s="6">
        <f t="shared" si="27"/>
        <v>0.40001162092541309</v>
      </c>
    </row>
    <row r="405" spans="1:15" ht="15" customHeight="1" x14ac:dyDescent="0.3">
      <c r="A405" s="2">
        <f>Raw_Data!A405</f>
        <v>100404</v>
      </c>
      <c r="B405" s="3">
        <f>DATEVALUE(Raw_Data!B405)</f>
        <v>45499</v>
      </c>
      <c r="C405" s="2" t="str">
        <f t="shared" si="24"/>
        <v>Jul-2024</v>
      </c>
      <c r="D405" s="2" t="str">
        <f>PROPER(TRIM(Raw_Data!C405))</f>
        <v>Sneha Gupta</v>
      </c>
      <c r="E405" s="2" t="str">
        <f>PROPER(TRIM(Raw_Data!D405))</f>
        <v>West</v>
      </c>
      <c r="F405" s="2" t="str">
        <f>PROPER(TRIM(Raw_Data!E405))</f>
        <v>Electronics</v>
      </c>
      <c r="G405" s="2" t="str">
        <f>PROPER(TRIM(Raw_Data!F405))</f>
        <v>Headphones</v>
      </c>
      <c r="H405" s="2" t="str">
        <f>Raw_Data!G405</f>
        <v>BassBeat Mini</v>
      </c>
      <c r="I405" s="2">
        <f>Raw_Data!H405</f>
        <v>5</v>
      </c>
      <c r="J405" s="4">
        <f>Raw_Data!I405</f>
        <v>1147.4100000000001</v>
      </c>
      <c r="K405" s="4">
        <f>Raw_Data!J405</f>
        <v>688.45</v>
      </c>
      <c r="L405" s="5">
        <f>IF(Raw_Data!K405="",0,Raw_Data!K405)</f>
        <v>0.1</v>
      </c>
      <c r="M405" s="4">
        <f t="shared" si="25"/>
        <v>5163.3500000000004</v>
      </c>
      <c r="N405" s="4">
        <f t="shared" si="26"/>
        <v>1721.1</v>
      </c>
      <c r="O405" s="6">
        <f t="shared" si="27"/>
        <v>0.33333010545479191</v>
      </c>
    </row>
    <row r="406" spans="1:15" ht="15" customHeight="1" x14ac:dyDescent="0.3">
      <c r="A406" s="2">
        <f>Raw_Data!A406</f>
        <v>100405</v>
      </c>
      <c r="B406" s="3" t="e">
        <f>DATEVALUE(Raw_Data!B406)</f>
        <v>#VALUE!</v>
      </c>
      <c r="C406" s="2" t="e">
        <f t="shared" si="24"/>
        <v>#VALUE!</v>
      </c>
      <c r="D406" s="2" t="str">
        <f>PROPER(TRIM(Raw_Data!C406))</f>
        <v>Sai Rao</v>
      </c>
      <c r="E406" s="2" t="str">
        <f>PROPER(TRIM(Raw_Data!D406))</f>
        <v>West</v>
      </c>
      <c r="F406" s="2" t="str">
        <f>PROPER(TRIM(Raw_Data!E406))</f>
        <v>Furniture</v>
      </c>
      <c r="G406" s="2" t="str">
        <f>PROPER(TRIM(Raw_Data!F406))</f>
        <v>Bookshelves</v>
      </c>
      <c r="H406" s="2" t="str">
        <f>Raw_Data!G406</f>
        <v>WoodCraft 5-Tier</v>
      </c>
      <c r="I406" s="2">
        <f>Raw_Data!H406</f>
        <v>11</v>
      </c>
      <c r="J406" s="4">
        <f>Raw_Data!I406</f>
        <v>3594.09</v>
      </c>
      <c r="K406" s="4">
        <f>Raw_Data!J406</f>
        <v>2156.46</v>
      </c>
      <c r="L406" s="5">
        <f>IF(Raw_Data!K406="",0,Raw_Data!K406)</f>
        <v>0.1</v>
      </c>
      <c r="M406" s="4">
        <f t="shared" si="25"/>
        <v>35581.49</v>
      </c>
      <c r="N406" s="4">
        <f t="shared" si="26"/>
        <v>11860.43</v>
      </c>
      <c r="O406" s="6">
        <f t="shared" si="27"/>
        <v>0.33333145969997324</v>
      </c>
    </row>
    <row r="407" spans="1:15" ht="15" customHeight="1" x14ac:dyDescent="0.3">
      <c r="A407" s="2">
        <f>Raw_Data!A407</f>
        <v>100406</v>
      </c>
      <c r="B407" s="3" t="e">
        <f>DATEVALUE(Raw_Data!B407)</f>
        <v>#VALUE!</v>
      </c>
      <c r="C407" s="2" t="e">
        <f t="shared" si="24"/>
        <v>#VALUE!</v>
      </c>
      <c r="D407" s="2" t="str">
        <f>PROPER(TRIM(Raw_Data!C407))</f>
        <v>Meera Agarwal</v>
      </c>
      <c r="E407" s="2" t="str">
        <f>PROPER(TRIM(Raw_Data!D407))</f>
        <v>South</v>
      </c>
      <c r="F407" s="2" t="str">
        <f>PROPER(TRIM(Raw_Data!E407))</f>
        <v>Clothing</v>
      </c>
      <c r="G407" s="2" t="str">
        <f>PROPER(TRIM(Raw_Data!F407))</f>
        <v>Jackets</v>
      </c>
      <c r="H407" s="2" t="str">
        <f>Raw_Data!G407</f>
        <v>RainShield Pro</v>
      </c>
      <c r="I407" s="2">
        <f>Raw_Data!H407</f>
        <v>5</v>
      </c>
      <c r="J407" s="4">
        <f>Raw_Data!I407</f>
        <v>2358.0300000000002</v>
      </c>
      <c r="K407" s="4">
        <f>Raw_Data!J407</f>
        <v>1179.01</v>
      </c>
      <c r="L407" s="5">
        <f>IF(Raw_Data!K407="",0,Raw_Data!K407)</f>
        <v>0.1</v>
      </c>
      <c r="M407" s="4">
        <f t="shared" si="25"/>
        <v>10611.14</v>
      </c>
      <c r="N407" s="4">
        <f t="shared" si="26"/>
        <v>4716.09</v>
      </c>
      <c r="O407" s="6">
        <f t="shared" si="27"/>
        <v>0.44444706223836461</v>
      </c>
    </row>
    <row r="408" spans="1:15" ht="15" customHeight="1" x14ac:dyDescent="0.3">
      <c r="A408" s="2">
        <f>Raw_Data!A408</f>
        <v>100407</v>
      </c>
      <c r="B408" s="3">
        <f>DATEVALUE(Raw_Data!B408)</f>
        <v>45542</v>
      </c>
      <c r="C408" s="2" t="str">
        <f t="shared" si="24"/>
        <v>Sep-2024</v>
      </c>
      <c r="D408" s="2" t="str">
        <f>PROPER(TRIM(Raw_Data!C408))</f>
        <v>Manoj Reddy</v>
      </c>
      <c r="E408" s="2" t="str">
        <f>PROPER(TRIM(Raw_Data!D408))</f>
        <v>East</v>
      </c>
      <c r="F408" s="2" t="str">
        <f>PROPER(TRIM(Raw_Data!E408))</f>
        <v>Clothing</v>
      </c>
      <c r="G408" s="2" t="str">
        <f>PROPER(TRIM(Raw_Data!F408))</f>
        <v>Bags</v>
      </c>
      <c r="H408" s="2" t="str">
        <f>Raw_Data!G408</f>
        <v>TravelMax Duffel</v>
      </c>
      <c r="I408" s="2">
        <f>Raw_Data!H408</f>
        <v>2</v>
      </c>
      <c r="J408" s="4">
        <f>Raw_Data!I408</f>
        <v>1858.34</v>
      </c>
      <c r="K408" s="4">
        <f>Raw_Data!J408</f>
        <v>929.17</v>
      </c>
      <c r="L408" s="5">
        <f>IF(Raw_Data!K408="",0,Raw_Data!K408)</f>
        <v>0.2</v>
      </c>
      <c r="M408" s="4">
        <f t="shared" si="25"/>
        <v>2973.34</v>
      </c>
      <c r="N408" s="4">
        <f t="shared" si="26"/>
        <v>1115</v>
      </c>
      <c r="O408" s="6">
        <f t="shared" si="27"/>
        <v>0.37499915919471033</v>
      </c>
    </row>
    <row r="409" spans="1:15" ht="15" customHeight="1" x14ac:dyDescent="0.3">
      <c r="A409" s="2">
        <f>Raw_Data!A409</f>
        <v>100408</v>
      </c>
      <c r="B409" s="3">
        <f>DATEVALUE(Raw_Data!B409)</f>
        <v>45447</v>
      </c>
      <c r="C409" s="2" t="str">
        <f t="shared" si="24"/>
        <v>Jun-2024</v>
      </c>
      <c r="D409" s="2" t="str">
        <f>PROPER(TRIM(Raw_Data!C409))</f>
        <v>Kabir Sharma</v>
      </c>
      <c r="E409" s="2" t="str">
        <f>PROPER(TRIM(Raw_Data!D409))</f>
        <v>East</v>
      </c>
      <c r="F409" s="2" t="str">
        <f>PROPER(TRIM(Raw_Data!E409))</f>
        <v>Clothing</v>
      </c>
      <c r="G409" s="2" t="str">
        <f>PROPER(TRIM(Raw_Data!F409))</f>
        <v>Bags</v>
      </c>
      <c r="H409" s="2" t="str">
        <f>Raw_Data!G409</f>
        <v>TravelMax Duffel</v>
      </c>
      <c r="I409" s="2">
        <f>Raw_Data!H409</f>
        <v>7</v>
      </c>
      <c r="J409" s="4">
        <f>Raw_Data!I409</f>
        <v>1861.38</v>
      </c>
      <c r="K409" s="4">
        <f>Raw_Data!J409</f>
        <v>930.69</v>
      </c>
      <c r="L409" s="5">
        <f>IF(Raw_Data!K409="",0,Raw_Data!K409)</f>
        <v>0</v>
      </c>
      <c r="M409" s="4">
        <f t="shared" si="25"/>
        <v>13029.66</v>
      </c>
      <c r="N409" s="4">
        <f t="shared" si="26"/>
        <v>6514.83</v>
      </c>
      <c r="O409" s="6">
        <f t="shared" si="27"/>
        <v>0.5</v>
      </c>
    </row>
    <row r="410" spans="1:15" ht="15" customHeight="1" x14ac:dyDescent="0.3">
      <c r="A410" s="2">
        <f>Raw_Data!A410</f>
        <v>100409</v>
      </c>
      <c r="B410" s="3" t="e">
        <f>DATEVALUE(Raw_Data!B410)</f>
        <v>#VALUE!</v>
      </c>
      <c r="C410" s="2" t="e">
        <f t="shared" si="24"/>
        <v>#VALUE!</v>
      </c>
      <c r="D410" s="2" t="str">
        <f>PROPER(TRIM(Raw_Data!C410))</f>
        <v>Pranav Chopra</v>
      </c>
      <c r="E410" s="2" t="str">
        <f>PROPER(TRIM(Raw_Data!D410))</f>
        <v>West</v>
      </c>
      <c r="F410" s="2" t="str">
        <f>PROPER(TRIM(Raw_Data!E410))</f>
        <v>Electronics</v>
      </c>
      <c r="G410" s="2" t="str">
        <f>PROPER(TRIM(Raw_Data!F410))</f>
        <v>Laptops</v>
      </c>
      <c r="H410" s="2" t="str">
        <f>Raw_Data!G410</f>
        <v>ProBook 14</v>
      </c>
      <c r="I410" s="2">
        <f>Raw_Data!H410</f>
        <v>6</v>
      </c>
      <c r="J410" s="4">
        <f>Raw_Data!I410</f>
        <v>46269.36</v>
      </c>
      <c r="K410" s="4">
        <f>Raw_Data!J410</f>
        <v>30075.08</v>
      </c>
      <c r="L410" s="5">
        <f>IF(Raw_Data!K410="",0,Raw_Data!K410)</f>
        <v>0.2</v>
      </c>
      <c r="M410" s="4">
        <f t="shared" si="25"/>
        <v>222092.93</v>
      </c>
      <c r="N410" s="4">
        <f t="shared" si="26"/>
        <v>41642.449999999997</v>
      </c>
      <c r="O410" s="6">
        <f t="shared" si="27"/>
        <v>0.1875001153796296</v>
      </c>
    </row>
    <row r="411" spans="1:15" ht="15" customHeight="1" x14ac:dyDescent="0.3">
      <c r="A411" s="2">
        <f>Raw_Data!A411</f>
        <v>100410</v>
      </c>
      <c r="B411" s="3">
        <f>DATEVALUE(Raw_Data!B411)</f>
        <v>45602</v>
      </c>
      <c r="C411" s="2" t="str">
        <f t="shared" si="24"/>
        <v>Nov-2024</v>
      </c>
      <c r="D411" s="2" t="str">
        <f>PROPER(TRIM(Raw_Data!C411))</f>
        <v>Nikhil Nair</v>
      </c>
      <c r="E411" s="2" t="str">
        <f>PROPER(TRIM(Raw_Data!D411))</f>
        <v>North</v>
      </c>
      <c r="F411" s="2" t="str">
        <f>PROPER(TRIM(Raw_Data!E411))</f>
        <v>Office Supplies</v>
      </c>
      <c r="G411" s="2" t="str">
        <f>PROPER(TRIM(Raw_Data!F411))</f>
        <v>Binders</v>
      </c>
      <c r="H411" s="2" t="str">
        <f>Raw_Data!G411</f>
        <v>RingFile A4</v>
      </c>
      <c r="I411" s="2">
        <f>Raw_Data!H411</f>
        <v>4</v>
      </c>
      <c r="J411" s="4">
        <f>Raw_Data!I411</f>
        <v>185.04</v>
      </c>
      <c r="K411" s="4">
        <f>Raw_Data!J411</f>
        <v>88.82</v>
      </c>
      <c r="L411" s="5">
        <f>IF(Raw_Data!K411="",0,Raw_Data!K411)</f>
        <v>0.2</v>
      </c>
      <c r="M411" s="4">
        <f t="shared" si="25"/>
        <v>592.13</v>
      </c>
      <c r="N411" s="4">
        <f t="shared" si="26"/>
        <v>236.85</v>
      </c>
      <c r="O411" s="6">
        <f t="shared" si="27"/>
        <v>0.39999662236333239</v>
      </c>
    </row>
    <row r="412" spans="1:15" ht="15" customHeight="1" x14ac:dyDescent="0.3">
      <c r="A412" s="2">
        <f>Raw_Data!A412</f>
        <v>100411</v>
      </c>
      <c r="B412" s="3">
        <f>DATEVALUE(Raw_Data!B412)</f>
        <v>45515</v>
      </c>
      <c r="C412" s="2" t="str">
        <f t="shared" si="24"/>
        <v>Aug-2024</v>
      </c>
      <c r="D412" s="2" t="str">
        <f>PROPER(TRIM(Raw_Data!C412))</f>
        <v>Pranav Patel</v>
      </c>
      <c r="E412" s="2" t="str">
        <f>PROPER(TRIM(Raw_Data!D412))</f>
        <v>North</v>
      </c>
      <c r="F412" s="2" t="str">
        <f>PROPER(TRIM(Raw_Data!E412))</f>
        <v>Clothing</v>
      </c>
      <c r="G412" s="2" t="str">
        <f>PROPER(TRIM(Raw_Data!F412))</f>
        <v>Shoes</v>
      </c>
      <c r="H412" s="2" t="str">
        <f>Raw_Data!G412</f>
        <v>WalkEase Casual</v>
      </c>
      <c r="I412" s="2">
        <f>Raw_Data!H412</f>
        <v>6</v>
      </c>
      <c r="J412" s="4">
        <f>Raw_Data!I412</f>
        <v>1939.8</v>
      </c>
      <c r="K412" s="4">
        <f>Raw_Data!J412</f>
        <v>969.9</v>
      </c>
      <c r="L412" s="5">
        <f>IF(Raw_Data!K412="",0,Raw_Data!K412)</f>
        <v>0.1</v>
      </c>
      <c r="M412" s="4">
        <f t="shared" si="25"/>
        <v>10474.92</v>
      </c>
      <c r="N412" s="4">
        <f t="shared" si="26"/>
        <v>4655.5200000000004</v>
      </c>
      <c r="O412" s="6">
        <f t="shared" si="27"/>
        <v>0.44444444444444448</v>
      </c>
    </row>
    <row r="413" spans="1:15" ht="15" customHeight="1" x14ac:dyDescent="0.3">
      <c r="A413" s="2">
        <f>Raw_Data!A413</f>
        <v>100412</v>
      </c>
      <c r="B413" s="3">
        <f>DATEVALUE(Raw_Data!B413)</f>
        <v>45472</v>
      </c>
      <c r="C413" s="2" t="str">
        <f t="shared" si="24"/>
        <v>Jun-2024</v>
      </c>
      <c r="D413" s="2" t="str">
        <f>PROPER(TRIM(Raw_Data!C413))</f>
        <v>Rahul Nair</v>
      </c>
      <c r="E413" s="2" t="str">
        <f>PROPER(TRIM(Raw_Data!D413))</f>
        <v>North</v>
      </c>
      <c r="F413" s="2" t="str">
        <f>PROPER(TRIM(Raw_Data!E413))</f>
        <v>Furniture</v>
      </c>
      <c r="G413" s="2" t="str">
        <f>PROPER(TRIM(Raw_Data!F413))</f>
        <v>Bookshelves</v>
      </c>
      <c r="H413" s="2" t="str">
        <f>Raw_Data!G413</f>
        <v>MetalFrame Open</v>
      </c>
      <c r="I413" s="2">
        <f>Raw_Data!H413</f>
        <v>5</v>
      </c>
      <c r="J413" s="4">
        <f>Raw_Data!I413</f>
        <v>2995.88</v>
      </c>
      <c r="K413" s="4">
        <f>Raw_Data!J413</f>
        <v>1857.45</v>
      </c>
      <c r="L413" s="5">
        <f>IF(Raw_Data!K413="",0,Raw_Data!K413)</f>
        <v>0.15</v>
      </c>
      <c r="M413" s="4">
        <f t="shared" si="25"/>
        <v>12732.49</v>
      </c>
      <c r="N413" s="4">
        <f t="shared" si="26"/>
        <v>3445.24</v>
      </c>
      <c r="O413" s="6">
        <f t="shared" si="27"/>
        <v>0.27058650743098955</v>
      </c>
    </row>
    <row r="414" spans="1:15" ht="15" customHeight="1" x14ac:dyDescent="0.3">
      <c r="A414" s="2">
        <f>Raw_Data!A414</f>
        <v>100413</v>
      </c>
      <c r="B414" s="3" t="e">
        <f>DATEVALUE(Raw_Data!B414)</f>
        <v>#VALUE!</v>
      </c>
      <c r="C414" s="2" t="e">
        <f t="shared" si="24"/>
        <v>#VALUE!</v>
      </c>
      <c r="D414" s="2" t="str">
        <f>PROPER(TRIM(Raw_Data!C414))</f>
        <v>Nikhil Verma</v>
      </c>
      <c r="E414" s="2" t="str">
        <f>PROPER(TRIM(Raw_Data!D414))</f>
        <v>North</v>
      </c>
      <c r="F414" s="2" t="str">
        <f>PROPER(TRIM(Raw_Data!E414))</f>
        <v>Furniture</v>
      </c>
      <c r="G414" s="2" t="str">
        <f>PROPER(TRIM(Raw_Data!F414))</f>
        <v>Bookshelves</v>
      </c>
      <c r="H414" s="2" t="str">
        <f>Raw_Data!G414</f>
        <v>WoodCraft 5-Tier</v>
      </c>
      <c r="I414" s="2">
        <f>Raw_Data!H414</f>
        <v>3</v>
      </c>
      <c r="J414" s="4">
        <f>Raw_Data!I414</f>
        <v>3634.82</v>
      </c>
      <c r="K414" s="4">
        <f>Raw_Data!J414</f>
        <v>2180.89</v>
      </c>
      <c r="L414" s="5">
        <f>IF(Raw_Data!K414="",0,Raw_Data!K414)</f>
        <v>0.15</v>
      </c>
      <c r="M414" s="4">
        <f t="shared" si="25"/>
        <v>9268.7900000000009</v>
      </c>
      <c r="N414" s="4">
        <f t="shared" si="26"/>
        <v>2726.12</v>
      </c>
      <c r="O414" s="6">
        <f t="shared" si="27"/>
        <v>0.29411821823560569</v>
      </c>
    </row>
    <row r="415" spans="1:15" ht="15" customHeight="1" x14ac:dyDescent="0.3">
      <c r="A415" s="2">
        <f>Raw_Data!A415</f>
        <v>100414</v>
      </c>
      <c r="B415" s="3" t="e">
        <f>DATEVALUE(Raw_Data!B415)</f>
        <v>#VALUE!</v>
      </c>
      <c r="C415" s="2" t="e">
        <f t="shared" si="24"/>
        <v>#VALUE!</v>
      </c>
      <c r="D415" s="2" t="str">
        <f>PROPER(TRIM(Raw_Data!C415))</f>
        <v>Kiara Sharma</v>
      </c>
      <c r="E415" s="2" t="str">
        <f>PROPER(TRIM(Raw_Data!D415))</f>
        <v>East</v>
      </c>
      <c r="F415" s="2" t="str">
        <f>PROPER(TRIM(Raw_Data!E415))</f>
        <v>Clothing</v>
      </c>
      <c r="G415" s="2" t="str">
        <f>PROPER(TRIM(Raw_Data!F415))</f>
        <v>T-Shirts</v>
      </c>
      <c r="H415" s="2" t="str">
        <f>Raw_Data!G415</f>
        <v>CottonBasic</v>
      </c>
      <c r="I415" s="2">
        <f>Raw_Data!H415</f>
        <v>12</v>
      </c>
      <c r="J415" s="4">
        <f>Raw_Data!I415</f>
        <v>442.77</v>
      </c>
      <c r="K415" s="4">
        <f>Raw_Data!J415</f>
        <v>199.25</v>
      </c>
      <c r="L415" s="5">
        <f>IF(Raw_Data!K415="",0,Raw_Data!K415)</f>
        <v>0</v>
      </c>
      <c r="M415" s="4">
        <f t="shared" si="25"/>
        <v>5313.24</v>
      </c>
      <c r="N415" s="4">
        <f t="shared" si="26"/>
        <v>2922.24</v>
      </c>
      <c r="O415" s="6">
        <f t="shared" si="27"/>
        <v>0.5499920952187366</v>
      </c>
    </row>
    <row r="416" spans="1:15" ht="15" customHeight="1" x14ac:dyDescent="0.3">
      <c r="A416" s="2">
        <f>Raw_Data!A416</f>
        <v>100415</v>
      </c>
      <c r="B416" s="3">
        <f>DATEVALUE(Raw_Data!B416)</f>
        <v>45651</v>
      </c>
      <c r="C416" s="2" t="str">
        <f t="shared" si="24"/>
        <v>Dec-2024</v>
      </c>
      <c r="D416" s="2" t="str">
        <f>PROPER(TRIM(Raw_Data!C416))</f>
        <v>Yash Bhatt</v>
      </c>
      <c r="E416" s="2" t="str">
        <f>PROPER(TRIM(Raw_Data!D416))</f>
        <v>South</v>
      </c>
      <c r="F416" s="2" t="str">
        <f>PROPER(TRIM(Raw_Data!E416))</f>
        <v>Office Supplies</v>
      </c>
      <c r="G416" s="2" t="str">
        <f>PROPER(TRIM(Raw_Data!F416))</f>
        <v>Staplers</v>
      </c>
      <c r="H416" s="2" t="str">
        <f>Raw_Data!G416</f>
        <v>ClickFix Standard</v>
      </c>
      <c r="I416" s="2">
        <f>Raw_Data!H416</f>
        <v>2</v>
      </c>
      <c r="J416" s="4">
        <f>Raw_Data!I416</f>
        <v>213.51</v>
      </c>
      <c r="K416" s="4">
        <f>Raw_Data!J416</f>
        <v>106.76</v>
      </c>
      <c r="L416" s="5">
        <f>IF(Raw_Data!K416="",0,Raw_Data!K416)</f>
        <v>0.1</v>
      </c>
      <c r="M416" s="4">
        <f t="shared" si="25"/>
        <v>384.32</v>
      </c>
      <c r="N416" s="4">
        <f t="shared" si="26"/>
        <v>170.8</v>
      </c>
      <c r="O416" s="6">
        <f t="shared" si="27"/>
        <v>0.44442131557035808</v>
      </c>
    </row>
    <row r="417" spans="1:15" ht="15" customHeight="1" x14ac:dyDescent="0.3">
      <c r="A417" s="2">
        <f>Raw_Data!A417</f>
        <v>100416</v>
      </c>
      <c r="B417" s="3">
        <f>DATEVALUE(Raw_Data!B417)</f>
        <v>45504</v>
      </c>
      <c r="C417" s="2" t="str">
        <f t="shared" si="24"/>
        <v>Jul-2024</v>
      </c>
      <c r="D417" s="2" t="str">
        <f>PROPER(TRIM(Raw_Data!C417))</f>
        <v>Aarav Sharma</v>
      </c>
      <c r="E417" s="2" t="str">
        <f>PROPER(TRIM(Raw_Data!D417))</f>
        <v>East</v>
      </c>
      <c r="F417" s="2" t="str">
        <f>PROPER(TRIM(Raw_Data!E417))</f>
        <v>Office Supplies</v>
      </c>
      <c r="G417" s="2" t="str">
        <f>PROPER(TRIM(Raw_Data!F417))</f>
        <v>Pens</v>
      </c>
      <c r="H417" s="2" t="str">
        <f>Raw_Data!G417</f>
        <v>WriteSmooth Pack10</v>
      </c>
      <c r="I417" s="2">
        <f>Raw_Data!H417</f>
        <v>7</v>
      </c>
      <c r="J417" s="4">
        <f>Raw_Data!I417</f>
        <v>149.66999999999999</v>
      </c>
      <c r="K417" s="4">
        <f>Raw_Data!J417</f>
        <v>67.349999999999994</v>
      </c>
      <c r="L417" s="5">
        <f>IF(Raw_Data!K417="",0,Raw_Data!K417)</f>
        <v>0.1</v>
      </c>
      <c r="M417" s="4">
        <f t="shared" si="25"/>
        <v>942.92</v>
      </c>
      <c r="N417" s="4">
        <f t="shared" si="26"/>
        <v>471.47</v>
      </c>
      <c r="O417" s="6">
        <f t="shared" si="27"/>
        <v>0.50001060535358255</v>
      </c>
    </row>
    <row r="418" spans="1:15" ht="15" customHeight="1" x14ac:dyDescent="0.3">
      <c r="A418" s="2">
        <f>Raw_Data!A418</f>
        <v>100417</v>
      </c>
      <c r="B418" s="3">
        <f>DATEVALUE(Raw_Data!B418)</f>
        <v>45334</v>
      </c>
      <c r="C418" s="2" t="str">
        <f t="shared" si="24"/>
        <v>Feb-2024</v>
      </c>
      <c r="D418" s="2" t="str">
        <f>PROPER(TRIM(Raw_Data!C418))</f>
        <v>Vikram Singh</v>
      </c>
      <c r="E418" s="2" t="str">
        <f>PROPER(TRIM(Raw_Data!D418))</f>
        <v>South</v>
      </c>
      <c r="F418" s="2" t="str">
        <f>PROPER(TRIM(Raw_Data!E418))</f>
        <v>Electronics</v>
      </c>
      <c r="G418" s="2" t="str">
        <f>PROPER(TRIM(Raw_Data!F418))</f>
        <v>Keyboards</v>
      </c>
      <c r="H418" s="2" t="str">
        <f>Raw_Data!G418</f>
        <v>GamerEdge RGB</v>
      </c>
      <c r="I418" s="2">
        <f>Raw_Data!H418</f>
        <v>7</v>
      </c>
      <c r="J418" s="4">
        <f>Raw_Data!I418</f>
        <v>3186.96</v>
      </c>
      <c r="K418" s="4">
        <f>Raw_Data!J418</f>
        <v>1593.48</v>
      </c>
      <c r="L418" s="5">
        <f>IF(Raw_Data!K418="",0,Raw_Data!K418)</f>
        <v>0</v>
      </c>
      <c r="M418" s="4">
        <f t="shared" si="25"/>
        <v>22308.720000000001</v>
      </c>
      <c r="N418" s="4">
        <f t="shared" si="26"/>
        <v>11154.36</v>
      </c>
      <c r="O418" s="6">
        <f t="shared" si="27"/>
        <v>0.5</v>
      </c>
    </row>
    <row r="419" spans="1:15" ht="15" customHeight="1" x14ac:dyDescent="0.3">
      <c r="A419" s="2">
        <f>Raw_Data!A419</f>
        <v>100418</v>
      </c>
      <c r="B419" s="3">
        <f>DATEVALUE(Raw_Data!B419)</f>
        <v>45365</v>
      </c>
      <c r="C419" s="2" t="str">
        <f t="shared" si="24"/>
        <v>Mar-2024</v>
      </c>
      <c r="D419" s="2" t="str">
        <f>PROPER(TRIM(Raw_Data!C419))</f>
        <v>Sneha Iyer</v>
      </c>
      <c r="E419" s="2" t="str">
        <f>PROPER(TRIM(Raw_Data!D419))</f>
        <v>South</v>
      </c>
      <c r="F419" s="2" t="str">
        <f>PROPER(TRIM(Raw_Data!E419))</f>
        <v>Furniture</v>
      </c>
      <c r="G419" s="2" t="str">
        <f>PROPER(TRIM(Raw_Data!F419))</f>
        <v>Desks</v>
      </c>
      <c r="H419" s="2" t="str">
        <f>Raw_Data!G419</f>
        <v>CornerFit Desk</v>
      </c>
      <c r="I419" s="2">
        <f>Raw_Data!H419</f>
        <v>5</v>
      </c>
      <c r="J419" s="4">
        <f>Raw_Data!I419</f>
        <v>10260.969999999999</v>
      </c>
      <c r="K419" s="4">
        <f>Raw_Data!J419</f>
        <v>5951.36</v>
      </c>
      <c r="L419" s="5">
        <f>IF(Raw_Data!K419="",0,Raw_Data!K419)</f>
        <v>0.1</v>
      </c>
      <c r="M419" s="4">
        <f t="shared" si="25"/>
        <v>46174.37</v>
      </c>
      <c r="N419" s="4">
        <f t="shared" si="26"/>
        <v>16417.57</v>
      </c>
      <c r="O419" s="6">
        <f t="shared" si="27"/>
        <v>0.35555590688080851</v>
      </c>
    </row>
    <row r="420" spans="1:15" ht="15" customHeight="1" x14ac:dyDescent="0.3">
      <c r="A420" s="2">
        <f>Raw_Data!A420</f>
        <v>100419</v>
      </c>
      <c r="B420" s="3">
        <f>DATEVALUE(Raw_Data!B420)</f>
        <v>45611</v>
      </c>
      <c r="C420" s="2" t="str">
        <f t="shared" si="24"/>
        <v>Nov-2024</v>
      </c>
      <c r="D420" s="2" t="str">
        <f>PROPER(TRIM(Raw_Data!C420))</f>
        <v>Aarav Das</v>
      </c>
      <c r="E420" s="2" t="str">
        <f>PROPER(TRIM(Raw_Data!D420))</f>
        <v>East</v>
      </c>
      <c r="F420" s="2" t="str">
        <f>PROPER(TRIM(Raw_Data!E420))</f>
        <v>Office Supplies</v>
      </c>
      <c r="G420" s="2" t="str">
        <f>PROPER(TRIM(Raw_Data!F420))</f>
        <v>Pens</v>
      </c>
      <c r="H420" s="2" t="str">
        <f>Raw_Data!G420</f>
        <v>InkFlow Gel Pack5</v>
      </c>
      <c r="I420" s="2">
        <f>Raw_Data!H420</f>
        <v>4</v>
      </c>
      <c r="J420" s="4">
        <f>Raw_Data!I420</f>
        <v>119.77</v>
      </c>
      <c r="K420" s="4">
        <f>Raw_Data!J420</f>
        <v>53.89</v>
      </c>
      <c r="L420" s="5">
        <f>IF(Raw_Data!K420="",0,Raw_Data!K420)</f>
        <v>0.15</v>
      </c>
      <c r="M420" s="4">
        <f t="shared" si="25"/>
        <v>407.22</v>
      </c>
      <c r="N420" s="4">
        <f t="shared" si="26"/>
        <v>191.66</v>
      </c>
      <c r="O420" s="6">
        <f t="shared" si="27"/>
        <v>0.47065468297234908</v>
      </c>
    </row>
    <row r="421" spans="1:15" ht="15" customHeight="1" x14ac:dyDescent="0.3">
      <c r="A421" s="2">
        <f>Raw_Data!A421</f>
        <v>100420</v>
      </c>
      <c r="B421" s="3" t="e">
        <f>DATEVALUE(Raw_Data!B421)</f>
        <v>#VALUE!</v>
      </c>
      <c r="C421" s="2" t="e">
        <f t="shared" si="24"/>
        <v>#VALUE!</v>
      </c>
      <c r="D421" s="2" t="str">
        <f>PROPER(TRIM(Raw_Data!C421))</f>
        <v>Sneha Bhatt</v>
      </c>
      <c r="E421" s="2" t="str">
        <f>PROPER(TRIM(Raw_Data!D421))</f>
        <v>East</v>
      </c>
      <c r="F421" s="2" t="str">
        <f>PROPER(TRIM(Raw_Data!E421))</f>
        <v>Electronics</v>
      </c>
      <c r="G421" s="2" t="str">
        <f>PROPER(TRIM(Raw_Data!F421))</f>
        <v>Laptops</v>
      </c>
      <c r="H421" s="2" t="str">
        <f>Raw_Data!G421</f>
        <v>EcoBook Air</v>
      </c>
      <c r="I421" s="2">
        <f>Raw_Data!H421</f>
        <v>1</v>
      </c>
      <c r="J421" s="4">
        <f>Raw_Data!I421</f>
        <v>36357.440000000002</v>
      </c>
      <c r="K421" s="4">
        <f>Raw_Data!J421</f>
        <v>24723.06</v>
      </c>
      <c r="L421" s="5">
        <f>IF(Raw_Data!K421="",0,Raw_Data!K421)</f>
        <v>0</v>
      </c>
      <c r="M421" s="4">
        <f t="shared" si="25"/>
        <v>36357.440000000002</v>
      </c>
      <c r="N421" s="4">
        <f t="shared" si="26"/>
        <v>11634.38</v>
      </c>
      <c r="O421" s="6">
        <f t="shared" si="27"/>
        <v>0.31999997799625052</v>
      </c>
    </row>
    <row r="422" spans="1:15" ht="15" customHeight="1" x14ac:dyDescent="0.3">
      <c r="A422" s="2">
        <f>Raw_Data!A422</f>
        <v>100421</v>
      </c>
      <c r="B422" s="3" t="e">
        <f>DATEVALUE(Raw_Data!B422)</f>
        <v>#VALUE!</v>
      </c>
      <c r="C422" s="2" t="e">
        <f t="shared" si="24"/>
        <v>#VALUE!</v>
      </c>
      <c r="D422" s="2" t="str">
        <f>PROPER(TRIM(Raw_Data!C422))</f>
        <v>Pranav Bose</v>
      </c>
      <c r="E422" s="2" t="str">
        <f>PROPER(TRIM(Raw_Data!D422))</f>
        <v>East</v>
      </c>
      <c r="F422" s="2" t="str">
        <f>PROPER(TRIM(Raw_Data!E422))</f>
        <v>Furniture</v>
      </c>
      <c r="G422" s="2" t="str">
        <f>PROPER(TRIM(Raw_Data!F422))</f>
        <v>Chairs</v>
      </c>
      <c r="H422" s="2" t="str">
        <f>Raw_Data!G422</f>
        <v>MeshFlex Pro</v>
      </c>
      <c r="I422" s="2">
        <f>Raw_Data!H422</f>
        <v>3</v>
      </c>
      <c r="J422" s="4">
        <f>Raw_Data!I422</f>
        <v>6985.25</v>
      </c>
      <c r="K422" s="4">
        <f>Raw_Data!J422</f>
        <v>4330.8500000000004</v>
      </c>
      <c r="L422" s="5">
        <f>IF(Raw_Data!K422="",0,Raw_Data!K422)</f>
        <v>0.1</v>
      </c>
      <c r="M422" s="4">
        <f t="shared" si="25"/>
        <v>18860.18</v>
      </c>
      <c r="N422" s="4">
        <f t="shared" si="26"/>
        <v>5867.63</v>
      </c>
      <c r="O422" s="6">
        <f t="shared" si="27"/>
        <v>0.31111208906807891</v>
      </c>
    </row>
    <row r="423" spans="1:15" ht="15" customHeight="1" x14ac:dyDescent="0.3">
      <c r="A423" s="2">
        <f>Raw_Data!A423</f>
        <v>100422</v>
      </c>
      <c r="B423" s="3" t="e">
        <f>DATEVALUE(Raw_Data!B423)</f>
        <v>#VALUE!</v>
      </c>
      <c r="C423" s="2" t="e">
        <f t="shared" si="24"/>
        <v>#VALUE!</v>
      </c>
      <c r="D423" s="2" t="str">
        <f>PROPER(TRIM(Raw_Data!C423))</f>
        <v>Pooja Kapoor</v>
      </c>
      <c r="E423" s="2" t="str">
        <f>PROPER(TRIM(Raw_Data!D423))</f>
        <v>South</v>
      </c>
      <c r="F423" s="2" t="str">
        <f>PROPER(TRIM(Raw_Data!E423))</f>
        <v>Clothing</v>
      </c>
      <c r="G423" s="2" t="str">
        <f>PROPER(TRIM(Raw_Data!F423))</f>
        <v>Shoes</v>
      </c>
      <c r="H423" s="2" t="str">
        <f>Raw_Data!G423</f>
        <v>RunFast Sport</v>
      </c>
      <c r="I423" s="2">
        <f>Raw_Data!H423</f>
        <v>7</v>
      </c>
      <c r="J423" s="4">
        <f>Raw_Data!I423</f>
        <v>2565.63</v>
      </c>
      <c r="K423" s="4">
        <f>Raw_Data!J423</f>
        <v>1231.5</v>
      </c>
      <c r="L423" s="5">
        <f>IF(Raw_Data!K423="",0,Raw_Data!K423)</f>
        <v>0.05</v>
      </c>
      <c r="M423" s="4">
        <f t="shared" si="25"/>
        <v>17061.439999999999</v>
      </c>
      <c r="N423" s="4">
        <f t="shared" si="26"/>
        <v>8440.94</v>
      </c>
      <c r="O423" s="6">
        <f t="shared" si="27"/>
        <v>0.4947378415889867</v>
      </c>
    </row>
    <row r="424" spans="1:15" ht="15" customHeight="1" x14ac:dyDescent="0.3">
      <c r="A424" s="2">
        <f>Raw_Data!A424</f>
        <v>100423</v>
      </c>
      <c r="B424" s="3">
        <f>DATEVALUE(Raw_Data!B424)</f>
        <v>45513</v>
      </c>
      <c r="C424" s="2" t="str">
        <f t="shared" si="24"/>
        <v>Aug-2024</v>
      </c>
      <c r="D424" s="2" t="str">
        <f>PROPER(TRIM(Raw_Data!C424))</f>
        <v>Karan Bose</v>
      </c>
      <c r="E424" s="2" t="str">
        <f>PROPER(TRIM(Raw_Data!D424))</f>
        <v>West</v>
      </c>
      <c r="F424" s="2" t="str">
        <f>PROPER(TRIM(Raw_Data!E424))</f>
        <v>Electronics</v>
      </c>
      <c r="G424" s="2" t="str">
        <f>PROPER(TRIM(Raw_Data!F424))</f>
        <v>Headphones</v>
      </c>
      <c r="H424" s="2" t="str">
        <f>Raw_Data!G424</f>
        <v>SoundMax Pro</v>
      </c>
      <c r="I424" s="2">
        <f>Raw_Data!H424</f>
        <v>1</v>
      </c>
      <c r="J424" s="4">
        <f>Raw_Data!I424</f>
        <v>2449.6999999999998</v>
      </c>
      <c r="K424" s="4">
        <f>Raw_Data!J424</f>
        <v>1347.34</v>
      </c>
      <c r="L424" s="5">
        <f>IF(Raw_Data!K424="",0,Raw_Data!K424)</f>
        <v>0</v>
      </c>
      <c r="M424" s="4">
        <f t="shared" si="25"/>
        <v>2449.6999999999998</v>
      </c>
      <c r="N424" s="4">
        <f t="shared" si="26"/>
        <v>1102.3599999999999</v>
      </c>
      <c r="O424" s="6">
        <f t="shared" si="27"/>
        <v>0.449997958933747</v>
      </c>
    </row>
    <row r="425" spans="1:15" ht="15" customHeight="1" x14ac:dyDescent="0.3">
      <c r="A425" s="2">
        <f>Raw_Data!A425</f>
        <v>100424</v>
      </c>
      <c r="B425" s="3">
        <f>DATEVALUE(Raw_Data!B425)</f>
        <v>45446</v>
      </c>
      <c r="C425" s="2" t="str">
        <f t="shared" si="24"/>
        <v>Jun-2024</v>
      </c>
      <c r="D425" s="2" t="str">
        <f>PROPER(TRIM(Raw_Data!C425))</f>
        <v>Yash Mehta</v>
      </c>
      <c r="E425" s="2" t="str">
        <f>PROPER(TRIM(Raw_Data!D425))</f>
        <v>West</v>
      </c>
      <c r="F425" s="2" t="str">
        <f>PROPER(TRIM(Raw_Data!E425))</f>
        <v>Clothing</v>
      </c>
      <c r="G425" s="2" t="str">
        <f>PROPER(TRIM(Raw_Data!F425))</f>
        <v>Bags</v>
      </c>
      <c r="H425" s="2" t="str">
        <f>Raw_Data!G425</f>
        <v>CityCarry Backpack</v>
      </c>
      <c r="I425" s="2">
        <f>Raw_Data!H425</f>
        <v>12</v>
      </c>
      <c r="J425" s="4">
        <f>Raw_Data!I425</f>
        <v>1594.04</v>
      </c>
      <c r="K425" s="4">
        <f>Raw_Data!J425</f>
        <v>797.02</v>
      </c>
      <c r="L425" s="5">
        <f>IF(Raw_Data!K425="",0,Raw_Data!K425)</f>
        <v>0</v>
      </c>
      <c r="M425" s="4">
        <f t="shared" si="25"/>
        <v>19128.48</v>
      </c>
      <c r="N425" s="4">
        <f t="shared" si="26"/>
        <v>9564.24</v>
      </c>
      <c r="O425" s="6">
        <f t="shared" si="27"/>
        <v>0.5</v>
      </c>
    </row>
    <row r="426" spans="1:15" ht="15" customHeight="1" x14ac:dyDescent="0.3">
      <c r="A426" s="2">
        <f>Raw_Data!A426</f>
        <v>100425</v>
      </c>
      <c r="B426" s="3" t="e">
        <f>DATEVALUE(Raw_Data!B426)</f>
        <v>#VALUE!</v>
      </c>
      <c r="C426" s="2" t="e">
        <f t="shared" si="24"/>
        <v>#VALUE!</v>
      </c>
      <c r="D426" s="2" t="str">
        <f>PROPER(TRIM(Raw_Data!C426))</f>
        <v>Aarav Mehta</v>
      </c>
      <c r="E426" s="2" t="str">
        <f>PROPER(TRIM(Raw_Data!D426))</f>
        <v>North</v>
      </c>
      <c r="F426" s="2" t="str">
        <f>PROPER(TRIM(Raw_Data!E426))</f>
        <v>Furniture</v>
      </c>
      <c r="G426" s="2" t="str">
        <f>PROPER(TRIM(Raw_Data!F426))</f>
        <v>Cabinets</v>
      </c>
      <c r="H426" s="2" t="str">
        <f>Raw_Data!G426</f>
        <v>FileSafe Steel</v>
      </c>
      <c r="I426" s="2">
        <f>Raw_Data!H426</f>
        <v>4</v>
      </c>
      <c r="J426" s="4">
        <f>Raw_Data!I426</f>
        <v>5879.29</v>
      </c>
      <c r="K426" s="4">
        <f>Raw_Data!J426</f>
        <v>3527.57</v>
      </c>
      <c r="L426" s="5">
        <f>IF(Raw_Data!K426="",0,Raw_Data!K426)</f>
        <v>0.15</v>
      </c>
      <c r="M426" s="4">
        <f t="shared" si="25"/>
        <v>19989.59</v>
      </c>
      <c r="N426" s="4">
        <f t="shared" si="26"/>
        <v>5879.31</v>
      </c>
      <c r="O426" s="6">
        <f t="shared" si="27"/>
        <v>0.29411858872543162</v>
      </c>
    </row>
    <row r="427" spans="1:15" ht="15" customHeight="1" x14ac:dyDescent="0.3">
      <c r="A427" s="2">
        <f>Raw_Data!A427</f>
        <v>100426</v>
      </c>
      <c r="B427" s="3">
        <f>DATEVALUE(Raw_Data!B427)</f>
        <v>45605</v>
      </c>
      <c r="C427" s="2" t="str">
        <f t="shared" si="24"/>
        <v>Nov-2024</v>
      </c>
      <c r="D427" s="2" t="str">
        <f>PROPER(TRIM(Raw_Data!C427))</f>
        <v>Diya Verma</v>
      </c>
      <c r="E427" s="2" t="str">
        <f>PROPER(TRIM(Raw_Data!D427))</f>
        <v>South</v>
      </c>
      <c r="F427" s="2" t="str">
        <f>PROPER(TRIM(Raw_Data!E427))</f>
        <v>Electronics</v>
      </c>
      <c r="G427" s="2" t="str">
        <f>PROPER(TRIM(Raw_Data!F427))</f>
        <v>Laptops</v>
      </c>
      <c r="H427" s="2" t="str">
        <f>Raw_Data!G427</f>
        <v>UltraSlim X1</v>
      </c>
      <c r="I427" s="2">
        <f>Raw_Data!H427</f>
        <v>12</v>
      </c>
      <c r="J427" s="4">
        <f>Raw_Data!I427</f>
        <v>64215.89</v>
      </c>
      <c r="K427" s="4">
        <f>Raw_Data!J427</f>
        <v>38529.53</v>
      </c>
      <c r="L427" s="5">
        <f>IF(Raw_Data!K427="",0,Raw_Data!K427)</f>
        <v>0.1</v>
      </c>
      <c r="M427" s="4">
        <f t="shared" si="25"/>
        <v>693531.61</v>
      </c>
      <c r="N427" s="4">
        <f t="shared" si="26"/>
        <v>231177.25</v>
      </c>
      <c r="O427" s="6">
        <f t="shared" si="27"/>
        <v>0.33333340062178279</v>
      </c>
    </row>
    <row r="428" spans="1:15" ht="15" customHeight="1" x14ac:dyDescent="0.3">
      <c r="A428" s="2">
        <f>Raw_Data!A428</f>
        <v>100427</v>
      </c>
      <c r="B428" s="3">
        <f>DATEVALUE(Raw_Data!B428)</f>
        <v>45363</v>
      </c>
      <c r="C428" s="2" t="str">
        <f t="shared" si="24"/>
        <v>Mar-2024</v>
      </c>
      <c r="D428" s="2" t="str">
        <f>PROPER(TRIM(Raw_Data!C428))</f>
        <v>Aditya Malhotra</v>
      </c>
      <c r="E428" s="2" t="str">
        <f>PROPER(TRIM(Raw_Data!D428))</f>
        <v>South</v>
      </c>
      <c r="F428" s="2" t="str">
        <f>PROPER(TRIM(Raw_Data!E428))</f>
        <v>Furniture</v>
      </c>
      <c r="G428" s="2" t="str">
        <f>PROPER(TRIM(Raw_Data!F428))</f>
        <v>Chairs</v>
      </c>
      <c r="H428" s="2" t="str">
        <f>Raw_Data!G428</f>
        <v>MeshFlex Pro</v>
      </c>
      <c r="I428" s="2">
        <f>Raw_Data!H428</f>
        <v>5</v>
      </c>
      <c r="J428" s="4">
        <f>Raw_Data!I428</f>
        <v>7043.29</v>
      </c>
      <c r="K428" s="4">
        <f>Raw_Data!J428</f>
        <v>4366.84</v>
      </c>
      <c r="L428" s="5">
        <f>IF(Raw_Data!K428="",0,Raw_Data!K428)</f>
        <v>0</v>
      </c>
      <c r="M428" s="4">
        <f t="shared" si="25"/>
        <v>35216.449999999997</v>
      </c>
      <c r="N428" s="4">
        <f t="shared" si="26"/>
        <v>13382.25</v>
      </c>
      <c r="O428" s="6">
        <f t="shared" si="27"/>
        <v>0.37999997160417931</v>
      </c>
    </row>
    <row r="429" spans="1:15" ht="15" customHeight="1" x14ac:dyDescent="0.3">
      <c r="A429" s="2">
        <f>Raw_Data!A429</f>
        <v>100428</v>
      </c>
      <c r="B429" s="3" t="e">
        <f>DATEVALUE(Raw_Data!B429)</f>
        <v>#VALUE!</v>
      </c>
      <c r="C429" s="2" t="e">
        <f t="shared" si="24"/>
        <v>#VALUE!</v>
      </c>
      <c r="D429" s="2" t="str">
        <f>PROPER(TRIM(Raw_Data!C429))</f>
        <v>Pranav Bhatt</v>
      </c>
      <c r="E429" s="2" t="str">
        <f>PROPER(TRIM(Raw_Data!D429))</f>
        <v>West</v>
      </c>
      <c r="F429" s="2" t="str">
        <f>PROPER(TRIM(Raw_Data!E429))</f>
        <v>Clothing</v>
      </c>
      <c r="G429" s="2" t="str">
        <f>PROPER(TRIM(Raw_Data!F429))</f>
        <v>Shoes</v>
      </c>
      <c r="H429" s="2" t="str">
        <f>Raw_Data!G429</f>
        <v>WalkEase Casual</v>
      </c>
      <c r="I429" s="2">
        <f>Raw_Data!H429</f>
        <v>2</v>
      </c>
      <c r="J429" s="4">
        <f>Raw_Data!I429</f>
        <v>1878.74</v>
      </c>
      <c r="K429" s="4">
        <f>Raw_Data!J429</f>
        <v>939.37</v>
      </c>
      <c r="L429" s="5">
        <f>IF(Raw_Data!K429="",0,Raw_Data!K429)</f>
        <v>0.2</v>
      </c>
      <c r="M429" s="4">
        <f t="shared" si="25"/>
        <v>3005.98</v>
      </c>
      <c r="N429" s="4">
        <f t="shared" si="26"/>
        <v>1127.24</v>
      </c>
      <c r="O429" s="6">
        <f t="shared" si="27"/>
        <v>0.37499916832447322</v>
      </c>
    </row>
    <row r="430" spans="1:15" ht="15" customHeight="1" x14ac:dyDescent="0.3">
      <c r="A430" s="2">
        <f>Raw_Data!A430</f>
        <v>100429</v>
      </c>
      <c r="B430" s="3" t="e">
        <f>DATEVALUE(Raw_Data!B430)</f>
        <v>#VALUE!</v>
      </c>
      <c r="C430" s="2" t="e">
        <f t="shared" si="24"/>
        <v>#VALUE!</v>
      </c>
      <c r="D430" s="2" t="str">
        <f>PROPER(TRIM(Raw_Data!C430))</f>
        <v>Aditya Verma</v>
      </c>
      <c r="E430" s="2" t="str">
        <f>PROPER(TRIM(Raw_Data!D430))</f>
        <v>West</v>
      </c>
      <c r="F430" s="2" t="str">
        <f>PROPER(TRIM(Raw_Data!E430))</f>
        <v>Office Supplies</v>
      </c>
      <c r="G430" s="2" t="str">
        <f>PROPER(TRIM(Raw_Data!F430))</f>
        <v>Binders</v>
      </c>
      <c r="H430" s="2" t="str">
        <f>Raw_Data!G430</f>
        <v>RingFile A4</v>
      </c>
      <c r="I430" s="2">
        <f>Raw_Data!H430</f>
        <v>7</v>
      </c>
      <c r="J430" s="4">
        <f>Raw_Data!I430</f>
        <v>189.98</v>
      </c>
      <c r="K430" s="4">
        <f>Raw_Data!J430</f>
        <v>91.19</v>
      </c>
      <c r="L430" s="5">
        <f>IF(Raw_Data!K430="",0,Raw_Data!K430)</f>
        <v>0.1</v>
      </c>
      <c r="M430" s="4">
        <f t="shared" si="25"/>
        <v>1196.8699999999999</v>
      </c>
      <c r="N430" s="4">
        <f t="shared" si="26"/>
        <v>558.54</v>
      </c>
      <c r="O430" s="6">
        <f t="shared" si="27"/>
        <v>0.46666722367508584</v>
      </c>
    </row>
    <row r="431" spans="1:15" ht="15" customHeight="1" x14ac:dyDescent="0.3">
      <c r="A431" s="2">
        <f>Raw_Data!A431</f>
        <v>100430</v>
      </c>
      <c r="B431" s="3">
        <f>DATEVALUE(Raw_Data!B431)</f>
        <v>45417</v>
      </c>
      <c r="C431" s="2" t="str">
        <f t="shared" si="24"/>
        <v>May-2024</v>
      </c>
      <c r="D431" s="2" t="str">
        <f>PROPER(TRIM(Raw_Data!C431))</f>
        <v>Priya Mehta</v>
      </c>
      <c r="E431" s="2" t="str">
        <f>PROPER(TRIM(Raw_Data!D431))</f>
        <v>North</v>
      </c>
      <c r="F431" s="2" t="str">
        <f>PROPER(TRIM(Raw_Data!E431))</f>
        <v>Office Supplies</v>
      </c>
      <c r="G431" s="2" t="str">
        <f>PROPER(TRIM(Raw_Data!F431))</f>
        <v>Binders</v>
      </c>
      <c r="H431" s="2" t="str">
        <f>Raw_Data!G431</f>
        <v>ClampBind Pro</v>
      </c>
      <c r="I431" s="2">
        <f>Raw_Data!H431</f>
        <v>2</v>
      </c>
      <c r="J431" s="4">
        <f>Raw_Data!I431</f>
        <v>224.27</v>
      </c>
      <c r="K431" s="4">
        <f>Raw_Data!J431</f>
        <v>107.65</v>
      </c>
      <c r="L431" s="5">
        <f>IF(Raw_Data!K431="",0,Raw_Data!K431)</f>
        <v>0.1</v>
      </c>
      <c r="M431" s="4">
        <f t="shared" si="25"/>
        <v>403.69</v>
      </c>
      <c r="N431" s="4">
        <f t="shared" si="26"/>
        <v>188.39</v>
      </c>
      <c r="O431" s="6">
        <f t="shared" si="27"/>
        <v>0.46666996953107581</v>
      </c>
    </row>
    <row r="432" spans="1:15" ht="15" customHeight="1" x14ac:dyDescent="0.3">
      <c r="A432" s="2">
        <f>Raw_Data!A432</f>
        <v>100431</v>
      </c>
      <c r="B432" s="3">
        <f>DATEVALUE(Raw_Data!B432)</f>
        <v>45631</v>
      </c>
      <c r="C432" s="2" t="str">
        <f t="shared" si="24"/>
        <v>Dec-2024</v>
      </c>
      <c r="D432" s="2" t="str">
        <f>PROPER(TRIM(Raw_Data!C432))</f>
        <v>Vikram Gupta</v>
      </c>
      <c r="E432" s="2" t="str">
        <f>PROPER(TRIM(Raw_Data!D432))</f>
        <v>North</v>
      </c>
      <c r="F432" s="2" t="str">
        <f>PROPER(TRIM(Raw_Data!E432))</f>
        <v>Clothing</v>
      </c>
      <c r="G432" s="2" t="str">
        <f>PROPER(TRIM(Raw_Data!F432))</f>
        <v>Bags</v>
      </c>
      <c r="H432" s="2" t="str">
        <f>Raw_Data!G432</f>
        <v>CityCarry Backpack</v>
      </c>
      <c r="I432" s="2">
        <f>Raw_Data!H432</f>
        <v>8</v>
      </c>
      <c r="J432" s="4">
        <f>Raw_Data!I432</f>
        <v>1553.87</v>
      </c>
      <c r="K432" s="4">
        <f>Raw_Data!J432</f>
        <v>776.93</v>
      </c>
      <c r="L432" s="5">
        <f>IF(Raw_Data!K432="",0,Raw_Data!K432)</f>
        <v>0.1</v>
      </c>
      <c r="M432" s="4">
        <f t="shared" si="25"/>
        <v>11187.86</v>
      </c>
      <c r="N432" s="4">
        <f t="shared" si="26"/>
        <v>4972.42</v>
      </c>
      <c r="O432" s="6">
        <f t="shared" si="27"/>
        <v>0.44444782112039299</v>
      </c>
    </row>
    <row r="433" spans="1:15" ht="15" customHeight="1" x14ac:dyDescent="0.3">
      <c r="A433" s="2">
        <f>Raw_Data!A433</f>
        <v>100432</v>
      </c>
      <c r="B433" s="3" t="e">
        <f>DATEVALUE(Raw_Data!B433)</f>
        <v>#VALUE!</v>
      </c>
      <c r="C433" s="2" t="e">
        <f t="shared" si="24"/>
        <v>#VALUE!</v>
      </c>
      <c r="D433" s="2" t="str">
        <f>PROPER(TRIM(Raw_Data!C433))</f>
        <v>Sneha Joshi</v>
      </c>
      <c r="E433" s="2" t="str">
        <f>PROPER(TRIM(Raw_Data!D433))</f>
        <v>North</v>
      </c>
      <c r="F433" s="2" t="str">
        <f>PROPER(TRIM(Raw_Data!E433))</f>
        <v>Electronics</v>
      </c>
      <c r="G433" s="2" t="str">
        <f>PROPER(TRIM(Raw_Data!F433))</f>
        <v>Keyboards</v>
      </c>
      <c r="H433" s="2" t="str">
        <f>Raw_Data!G433</f>
        <v>GamerEdge RGB</v>
      </c>
      <c r="I433" s="2">
        <f>Raw_Data!H433</f>
        <v>5</v>
      </c>
      <c r="J433" s="4">
        <f>Raw_Data!I433</f>
        <v>3071.52</v>
      </c>
      <c r="K433" s="4">
        <f>Raw_Data!J433</f>
        <v>1535.76</v>
      </c>
      <c r="L433" s="5">
        <f>IF(Raw_Data!K433="",0,Raw_Data!K433)</f>
        <v>0.15</v>
      </c>
      <c r="M433" s="4">
        <f t="shared" si="25"/>
        <v>13053.96</v>
      </c>
      <c r="N433" s="4">
        <f t="shared" si="26"/>
        <v>5375.16</v>
      </c>
      <c r="O433" s="6">
        <f t="shared" si="27"/>
        <v>0.41176470588235298</v>
      </c>
    </row>
    <row r="434" spans="1:15" ht="15" customHeight="1" x14ac:dyDescent="0.3">
      <c r="A434" s="2">
        <f>Raw_Data!A434</f>
        <v>100433</v>
      </c>
      <c r="B434" s="3">
        <f>DATEVALUE(Raw_Data!B434)</f>
        <v>45444</v>
      </c>
      <c r="C434" s="2" t="str">
        <f t="shared" si="24"/>
        <v>Jun-2024</v>
      </c>
      <c r="D434" s="2" t="str">
        <f>PROPER(TRIM(Raw_Data!C434))</f>
        <v>Kiara Malhotra</v>
      </c>
      <c r="E434" s="2" t="str">
        <f>PROPER(TRIM(Raw_Data!D434))</f>
        <v>East</v>
      </c>
      <c r="F434" s="2" t="str">
        <f>PROPER(TRIM(Raw_Data!E434))</f>
        <v>Electronics</v>
      </c>
      <c r="G434" s="2" t="str">
        <f>PROPER(TRIM(Raw_Data!F434))</f>
        <v>Keyboards</v>
      </c>
      <c r="H434" s="2" t="str">
        <f>Raw_Data!G434</f>
        <v>GamerEdge RGB</v>
      </c>
      <c r="I434" s="2">
        <f>Raw_Data!H434</f>
        <v>1</v>
      </c>
      <c r="J434" s="4">
        <f>Raw_Data!I434</f>
        <v>2947.36</v>
      </c>
      <c r="K434" s="4">
        <f>Raw_Data!J434</f>
        <v>1473.68</v>
      </c>
      <c r="L434" s="5">
        <f>IF(Raw_Data!K434="",0,Raw_Data!K434)</f>
        <v>0</v>
      </c>
      <c r="M434" s="4">
        <f t="shared" si="25"/>
        <v>2947.36</v>
      </c>
      <c r="N434" s="4">
        <f t="shared" si="26"/>
        <v>1473.68</v>
      </c>
      <c r="O434" s="6">
        <f t="shared" si="27"/>
        <v>0.5</v>
      </c>
    </row>
    <row r="435" spans="1:15" ht="15" customHeight="1" x14ac:dyDescent="0.3">
      <c r="A435" s="2">
        <f>Raw_Data!A435</f>
        <v>100434</v>
      </c>
      <c r="B435" s="3">
        <f>DATEVALUE(Raw_Data!B435)</f>
        <v>45349</v>
      </c>
      <c r="C435" s="2" t="str">
        <f t="shared" si="24"/>
        <v>Feb-2024</v>
      </c>
      <c r="D435" s="2" t="str">
        <f>PROPER(TRIM(Raw_Data!C435))</f>
        <v>Karan Iyer</v>
      </c>
      <c r="E435" s="2" t="str">
        <f>PROPER(TRIM(Raw_Data!D435))</f>
        <v>East</v>
      </c>
      <c r="F435" s="2" t="str">
        <f>PROPER(TRIM(Raw_Data!E435))</f>
        <v>Clothing</v>
      </c>
      <c r="G435" s="2" t="str">
        <f>PROPER(TRIM(Raw_Data!F435))</f>
        <v>Shoes</v>
      </c>
      <c r="H435" s="2" t="str">
        <f>Raw_Data!G435</f>
        <v>WalkEase Casual</v>
      </c>
      <c r="I435" s="2">
        <f>Raw_Data!H435</f>
        <v>3</v>
      </c>
      <c r="J435" s="4">
        <f>Raw_Data!I435</f>
        <v>1838.37</v>
      </c>
      <c r="K435" s="4">
        <f>Raw_Data!J435</f>
        <v>919.19</v>
      </c>
      <c r="L435" s="5">
        <f>IF(Raw_Data!K435="",0,Raw_Data!K435)</f>
        <v>0</v>
      </c>
      <c r="M435" s="4">
        <f t="shared" si="25"/>
        <v>5515.11</v>
      </c>
      <c r="N435" s="4">
        <f t="shared" si="26"/>
        <v>2757.54</v>
      </c>
      <c r="O435" s="6">
        <f t="shared" si="27"/>
        <v>0.499997280199307</v>
      </c>
    </row>
    <row r="436" spans="1:15" ht="15" customHeight="1" x14ac:dyDescent="0.3">
      <c r="A436" s="2">
        <f>Raw_Data!A436</f>
        <v>100435</v>
      </c>
      <c r="B436" s="3">
        <f>DATEVALUE(Raw_Data!B436)</f>
        <v>45328</v>
      </c>
      <c r="C436" s="2" t="str">
        <f t="shared" si="24"/>
        <v>Feb-2024</v>
      </c>
      <c r="D436" s="2" t="str">
        <f>PROPER(TRIM(Raw_Data!C436))</f>
        <v>Tanvi Bose</v>
      </c>
      <c r="E436" s="2" t="str">
        <f>PROPER(TRIM(Raw_Data!D436))</f>
        <v>South</v>
      </c>
      <c r="F436" s="2" t="str">
        <f>PROPER(TRIM(Raw_Data!E436))</f>
        <v>Electronics</v>
      </c>
      <c r="G436" s="2" t="str">
        <f>PROPER(TRIM(Raw_Data!F436))</f>
        <v>Monitors</v>
      </c>
      <c r="H436" s="2" t="str">
        <f>Raw_Data!G436</f>
        <v>WideView 27</v>
      </c>
      <c r="I436" s="2">
        <f>Raw_Data!H436</f>
        <v>3</v>
      </c>
      <c r="J436" s="4">
        <f>Raw_Data!I436</f>
        <v>14162.66</v>
      </c>
      <c r="K436" s="4">
        <f>Raw_Data!J436</f>
        <v>8497.6</v>
      </c>
      <c r="L436" s="5">
        <f>IF(Raw_Data!K436="",0,Raw_Data!K436)</f>
        <v>0</v>
      </c>
      <c r="M436" s="4">
        <f t="shared" si="25"/>
        <v>42487.98</v>
      </c>
      <c r="N436" s="4">
        <f t="shared" si="26"/>
        <v>16995.18</v>
      </c>
      <c r="O436" s="6">
        <f t="shared" si="27"/>
        <v>0.39999971756718017</v>
      </c>
    </row>
    <row r="437" spans="1:15" ht="15" customHeight="1" x14ac:dyDescent="0.3">
      <c r="A437" s="2">
        <f>Raw_Data!A437</f>
        <v>100436</v>
      </c>
      <c r="B437" s="3" t="e">
        <f>DATEVALUE(Raw_Data!B437)</f>
        <v>#VALUE!</v>
      </c>
      <c r="C437" s="2" t="e">
        <f t="shared" si="24"/>
        <v>#VALUE!</v>
      </c>
      <c r="D437" s="2" t="str">
        <f>PROPER(TRIM(Raw_Data!C437))</f>
        <v>Tanvi Agarwal</v>
      </c>
      <c r="E437" s="2" t="str">
        <f>PROPER(TRIM(Raw_Data!D437))</f>
        <v>West</v>
      </c>
      <c r="F437" s="2" t="str">
        <f>PROPER(TRIM(Raw_Data!E437))</f>
        <v>Electronics</v>
      </c>
      <c r="G437" s="2" t="str">
        <f>PROPER(TRIM(Raw_Data!F437))</f>
        <v>Monitors</v>
      </c>
      <c r="H437" s="2" t="str">
        <f>Raw_Data!G437</f>
        <v>ViewClear 24</v>
      </c>
      <c r="I437" s="2">
        <f>Raw_Data!H437</f>
        <v>2</v>
      </c>
      <c r="J437" s="4">
        <f>Raw_Data!I437</f>
        <v>9803.56</v>
      </c>
      <c r="K437" s="4">
        <f>Raw_Data!J437</f>
        <v>6078.2</v>
      </c>
      <c r="L437" s="5">
        <f>IF(Raw_Data!K437="",0,Raw_Data!K437)</f>
        <v>0.15</v>
      </c>
      <c r="M437" s="4">
        <f t="shared" si="25"/>
        <v>16666.05</v>
      </c>
      <c r="N437" s="4">
        <f t="shared" si="26"/>
        <v>4509.6499999999996</v>
      </c>
      <c r="O437" s="6">
        <f t="shared" si="27"/>
        <v>0.27058901179343636</v>
      </c>
    </row>
    <row r="438" spans="1:15" ht="15" customHeight="1" x14ac:dyDescent="0.3">
      <c r="A438" s="2">
        <f>Raw_Data!A438</f>
        <v>100437</v>
      </c>
      <c r="B438" s="3">
        <f>DATEVALUE(Raw_Data!B438)</f>
        <v>45360</v>
      </c>
      <c r="C438" s="2" t="str">
        <f t="shared" si="24"/>
        <v>Mar-2024</v>
      </c>
      <c r="D438" s="2" t="str">
        <f>PROPER(TRIM(Raw_Data!C438))</f>
        <v>Pranav Rao</v>
      </c>
      <c r="E438" s="2" t="str">
        <f>PROPER(TRIM(Raw_Data!D438))</f>
        <v>West</v>
      </c>
      <c r="F438" s="2" t="str">
        <f>PROPER(TRIM(Raw_Data!E438))</f>
        <v>Furniture</v>
      </c>
      <c r="G438" s="2" t="str">
        <f>PROPER(TRIM(Raw_Data!F438))</f>
        <v>Chairs</v>
      </c>
      <c r="H438" s="2" t="str">
        <f>Raw_Data!G438</f>
        <v>MeshFlex Pro</v>
      </c>
      <c r="I438" s="2">
        <f>Raw_Data!H438</f>
        <v>1</v>
      </c>
      <c r="J438" s="4">
        <f>Raw_Data!I438</f>
        <v>7134.51</v>
      </c>
      <c r="K438" s="4">
        <f>Raw_Data!J438</f>
        <v>4423.3999999999996</v>
      </c>
      <c r="L438" s="5">
        <f>IF(Raw_Data!K438="",0,Raw_Data!K438)</f>
        <v>0.05</v>
      </c>
      <c r="M438" s="4">
        <f t="shared" si="25"/>
        <v>6777.78</v>
      </c>
      <c r="N438" s="4">
        <f t="shared" si="26"/>
        <v>2354.38</v>
      </c>
      <c r="O438" s="6">
        <f t="shared" si="27"/>
        <v>0.3473674270926469</v>
      </c>
    </row>
    <row r="439" spans="1:15" ht="15" customHeight="1" x14ac:dyDescent="0.3">
      <c r="A439" s="2">
        <f>Raw_Data!A439</f>
        <v>100438</v>
      </c>
      <c r="B439" s="3" t="e">
        <f>DATEVALUE(Raw_Data!B439)</f>
        <v>#VALUE!</v>
      </c>
      <c r="C439" s="2" t="e">
        <f t="shared" si="24"/>
        <v>#VALUE!</v>
      </c>
      <c r="D439" s="2" t="str">
        <f>PROPER(TRIM(Raw_Data!C439))</f>
        <v>Meera Bhatt</v>
      </c>
      <c r="E439" s="2" t="str">
        <f>PROPER(TRIM(Raw_Data!D439))</f>
        <v>South</v>
      </c>
      <c r="F439" s="2" t="str">
        <f>PROPER(TRIM(Raw_Data!E439))</f>
        <v>Office Supplies</v>
      </c>
      <c r="G439" s="2" t="str">
        <f>PROPER(TRIM(Raw_Data!F439))</f>
        <v>Pens</v>
      </c>
      <c r="H439" s="2" t="str">
        <f>Raw_Data!G439</f>
        <v>InkFlow Gel Pack5</v>
      </c>
      <c r="I439" s="2">
        <f>Raw_Data!H439</f>
        <v>6</v>
      </c>
      <c r="J439" s="4">
        <f>Raw_Data!I439</f>
        <v>120.83</v>
      </c>
      <c r="K439" s="4">
        <f>Raw_Data!J439</f>
        <v>54.38</v>
      </c>
      <c r="L439" s="5">
        <f>IF(Raw_Data!K439="",0,Raw_Data!K439)</f>
        <v>0.1</v>
      </c>
      <c r="M439" s="4">
        <f t="shared" si="25"/>
        <v>652.48</v>
      </c>
      <c r="N439" s="4">
        <f t="shared" si="26"/>
        <v>326.2</v>
      </c>
      <c r="O439" s="6">
        <f t="shared" si="27"/>
        <v>0.49993869543894065</v>
      </c>
    </row>
    <row r="440" spans="1:15" ht="15" customHeight="1" x14ac:dyDescent="0.3">
      <c r="A440" s="2">
        <f>Raw_Data!A440</f>
        <v>100439</v>
      </c>
      <c r="B440" s="3">
        <f>DATEVALUE(Raw_Data!B440)</f>
        <v>45363</v>
      </c>
      <c r="C440" s="2" t="str">
        <f t="shared" si="24"/>
        <v>Mar-2024</v>
      </c>
      <c r="D440" s="2" t="str">
        <f>PROPER(TRIM(Raw_Data!C440))</f>
        <v>Kabir Reddy</v>
      </c>
      <c r="E440" s="2" t="str">
        <f>PROPER(TRIM(Raw_Data!D440))</f>
        <v>West</v>
      </c>
      <c r="F440" s="2" t="str">
        <f>PROPER(TRIM(Raw_Data!E440))</f>
        <v>Office Supplies</v>
      </c>
      <c r="G440" s="2" t="str">
        <f>PROPER(TRIM(Raw_Data!F440))</f>
        <v>Binders</v>
      </c>
      <c r="H440" s="2" t="str">
        <f>Raw_Data!G440</f>
        <v>RingFile A4</v>
      </c>
      <c r="I440" s="2">
        <f>Raw_Data!H440</f>
        <v>10</v>
      </c>
      <c r="J440" s="4">
        <f>Raw_Data!I440</f>
        <v>175.85</v>
      </c>
      <c r="K440" s="4">
        <f>Raw_Data!J440</f>
        <v>84.41</v>
      </c>
      <c r="L440" s="5">
        <f>IF(Raw_Data!K440="",0,Raw_Data!K440)</f>
        <v>0.15</v>
      </c>
      <c r="M440" s="4">
        <f t="shared" si="25"/>
        <v>1494.73</v>
      </c>
      <c r="N440" s="4">
        <f t="shared" si="26"/>
        <v>650.63</v>
      </c>
      <c r="O440" s="6">
        <f t="shared" si="27"/>
        <v>0.43528262629371189</v>
      </c>
    </row>
    <row r="441" spans="1:15" ht="15" customHeight="1" x14ac:dyDescent="0.3">
      <c r="A441" s="2">
        <f>Raw_Data!A441</f>
        <v>100440</v>
      </c>
      <c r="B441" s="3">
        <f>DATEVALUE(Raw_Data!B441)</f>
        <v>45378</v>
      </c>
      <c r="C441" s="2" t="str">
        <f t="shared" si="24"/>
        <v>Mar-2024</v>
      </c>
      <c r="D441" s="2" t="str">
        <f>PROPER(TRIM(Raw_Data!C441))</f>
        <v>Nikhil Gupta</v>
      </c>
      <c r="E441" s="2" t="str">
        <f>PROPER(TRIM(Raw_Data!D441))</f>
        <v>South</v>
      </c>
      <c r="F441" s="2" t="str">
        <f>PROPER(TRIM(Raw_Data!E441))</f>
        <v>Electronics</v>
      </c>
      <c r="G441" s="2" t="str">
        <f>PROPER(TRIM(Raw_Data!F441))</f>
        <v>Laptops</v>
      </c>
      <c r="H441" s="2" t="str">
        <f>Raw_Data!G441</f>
        <v>UltraSlim X1</v>
      </c>
      <c r="I441" s="2">
        <f>Raw_Data!H441</f>
        <v>5</v>
      </c>
      <c r="J441" s="4">
        <f>Raw_Data!I441</f>
        <v>61777.77</v>
      </c>
      <c r="K441" s="4">
        <f>Raw_Data!J441</f>
        <v>37066.660000000003</v>
      </c>
      <c r="L441" s="5">
        <f>IF(Raw_Data!K441="",0,Raw_Data!K441)</f>
        <v>0</v>
      </c>
      <c r="M441" s="4">
        <f t="shared" si="25"/>
        <v>308888.84999999998</v>
      </c>
      <c r="N441" s="4">
        <f t="shared" si="26"/>
        <v>123555.55</v>
      </c>
      <c r="O441" s="6">
        <f t="shared" si="27"/>
        <v>0.40000003237410481</v>
      </c>
    </row>
    <row r="442" spans="1:15" ht="15" customHeight="1" x14ac:dyDescent="0.3">
      <c r="A442" s="2">
        <f>Raw_Data!A442</f>
        <v>100441</v>
      </c>
      <c r="B442" s="3">
        <f>DATEVALUE(Raw_Data!B442)</f>
        <v>45600</v>
      </c>
      <c r="C442" s="2" t="str">
        <f t="shared" si="24"/>
        <v>Nov-2024</v>
      </c>
      <c r="D442" s="2" t="str">
        <f>PROPER(TRIM(Raw_Data!C442))</f>
        <v>Meera Bose</v>
      </c>
      <c r="E442" s="2" t="str">
        <f>PROPER(TRIM(Raw_Data!D442))</f>
        <v>East</v>
      </c>
      <c r="F442" s="2" t="str">
        <f>PROPER(TRIM(Raw_Data!E442))</f>
        <v>Electronics</v>
      </c>
      <c r="G442" s="2" t="str">
        <f>PROPER(TRIM(Raw_Data!F442))</f>
        <v>Monitors</v>
      </c>
      <c r="H442" s="2" t="str">
        <f>Raw_Data!G442</f>
        <v>ViewClear 24</v>
      </c>
      <c r="I442" s="2">
        <f>Raw_Data!H442</f>
        <v>12</v>
      </c>
      <c r="J442" s="4">
        <f>Raw_Data!I442</f>
        <v>10104.01</v>
      </c>
      <c r="K442" s="4">
        <f>Raw_Data!J442</f>
        <v>6264.49</v>
      </c>
      <c r="L442" s="5">
        <f>IF(Raw_Data!K442="",0,Raw_Data!K442)</f>
        <v>0.1</v>
      </c>
      <c r="M442" s="4">
        <f t="shared" si="25"/>
        <v>109123.31</v>
      </c>
      <c r="N442" s="4">
        <f t="shared" si="26"/>
        <v>33949.43</v>
      </c>
      <c r="O442" s="6">
        <f t="shared" si="27"/>
        <v>0.3111107058611034</v>
      </c>
    </row>
    <row r="443" spans="1:15" ht="15" customHeight="1" x14ac:dyDescent="0.3">
      <c r="A443" s="2">
        <f>Raw_Data!A443</f>
        <v>100442</v>
      </c>
      <c r="B443" s="3">
        <f>DATEVALUE(Raw_Data!B443)</f>
        <v>45449</v>
      </c>
      <c r="C443" s="2" t="str">
        <f t="shared" si="24"/>
        <v>Jun-2024</v>
      </c>
      <c r="D443" s="2" t="str">
        <f>PROPER(TRIM(Raw_Data!C443))</f>
        <v>Karan Bose</v>
      </c>
      <c r="E443" s="2" t="str">
        <f>PROPER(TRIM(Raw_Data!D443))</f>
        <v>North</v>
      </c>
      <c r="F443" s="2" t="str">
        <f>PROPER(TRIM(Raw_Data!E443))</f>
        <v>Electronics</v>
      </c>
      <c r="G443" s="2" t="str">
        <f>PROPER(TRIM(Raw_Data!F443))</f>
        <v>Laptops</v>
      </c>
      <c r="H443" s="2" t="str">
        <f>Raw_Data!G443</f>
        <v>ProBook 14</v>
      </c>
      <c r="I443" s="2">
        <f>Raw_Data!H443</f>
        <v>11</v>
      </c>
      <c r="J443" s="4">
        <f>Raw_Data!I443</f>
        <v>43440.65</v>
      </c>
      <c r="K443" s="4">
        <f>Raw_Data!J443</f>
        <v>28236.42</v>
      </c>
      <c r="L443" s="5">
        <f>IF(Raw_Data!K443="",0,Raw_Data!K443)</f>
        <v>0</v>
      </c>
      <c r="M443" s="4">
        <f t="shared" si="25"/>
        <v>477847.15</v>
      </c>
      <c r="N443" s="4">
        <f t="shared" si="26"/>
        <v>167246.53</v>
      </c>
      <c r="O443" s="6">
        <f t="shared" si="27"/>
        <v>0.35000005754978342</v>
      </c>
    </row>
    <row r="444" spans="1:15" ht="15" customHeight="1" x14ac:dyDescent="0.3">
      <c r="A444" s="2">
        <f>Raw_Data!A444</f>
        <v>100443</v>
      </c>
      <c r="B444" s="3">
        <f>DATEVALUE(Raw_Data!B444)</f>
        <v>45604</v>
      </c>
      <c r="C444" s="2" t="str">
        <f t="shared" si="24"/>
        <v>Nov-2024</v>
      </c>
      <c r="D444" s="2" t="str">
        <f>PROPER(TRIM(Raw_Data!C444))</f>
        <v>Pooja Reddy</v>
      </c>
      <c r="E444" s="2" t="str">
        <f>PROPER(TRIM(Raw_Data!D444))</f>
        <v>North</v>
      </c>
      <c r="F444" s="2" t="str">
        <f>PROPER(TRIM(Raw_Data!E444))</f>
        <v>Furniture</v>
      </c>
      <c r="G444" s="2" t="str">
        <f>PROPER(TRIM(Raw_Data!F444))</f>
        <v>Cabinets</v>
      </c>
      <c r="H444" s="2" t="str">
        <f>Raw_Data!G444</f>
        <v>StorageMax Wood</v>
      </c>
      <c r="I444" s="2">
        <f>Raw_Data!H444</f>
        <v>1</v>
      </c>
      <c r="J444" s="4">
        <f>Raw_Data!I444</f>
        <v>4614.8900000000003</v>
      </c>
      <c r="K444" s="4">
        <f>Raw_Data!J444</f>
        <v>2907.38</v>
      </c>
      <c r="L444" s="5">
        <f>IF(Raw_Data!K444="",0,Raw_Data!K444)</f>
        <v>0.2</v>
      </c>
      <c r="M444" s="4">
        <f t="shared" si="25"/>
        <v>3691.91</v>
      </c>
      <c r="N444" s="4">
        <f t="shared" si="26"/>
        <v>784.53</v>
      </c>
      <c r="O444" s="6">
        <f t="shared" si="27"/>
        <v>0.21249976299530596</v>
      </c>
    </row>
    <row r="445" spans="1:15" ht="15" customHeight="1" x14ac:dyDescent="0.3">
      <c r="A445" s="2">
        <f>Raw_Data!A445</f>
        <v>100444</v>
      </c>
      <c r="B445" s="3" t="e">
        <f>DATEVALUE(Raw_Data!B445)</f>
        <v>#VALUE!</v>
      </c>
      <c r="C445" s="2" t="e">
        <f t="shared" si="24"/>
        <v>#VALUE!</v>
      </c>
      <c r="D445" s="2" t="str">
        <f>PROPER(TRIM(Raw_Data!C445))</f>
        <v>Aarav Bose</v>
      </c>
      <c r="E445" s="2" t="str">
        <f>PROPER(TRIM(Raw_Data!D445))</f>
        <v>West</v>
      </c>
      <c r="F445" s="2" t="str">
        <f>PROPER(TRIM(Raw_Data!E445))</f>
        <v>Furniture</v>
      </c>
      <c r="G445" s="2" t="str">
        <f>PROPER(TRIM(Raw_Data!F445))</f>
        <v>Desks</v>
      </c>
      <c r="H445" s="2" t="str">
        <f>Raw_Data!G445</f>
        <v>CornerFit Desk</v>
      </c>
      <c r="I445" s="2">
        <f>Raw_Data!H445</f>
        <v>7</v>
      </c>
      <c r="J445" s="4">
        <f>Raw_Data!I445</f>
        <v>10479.56</v>
      </c>
      <c r="K445" s="4">
        <f>Raw_Data!J445</f>
        <v>6078.14</v>
      </c>
      <c r="L445" s="5">
        <f>IF(Raw_Data!K445="",0,Raw_Data!K445)</f>
        <v>0.1</v>
      </c>
      <c r="M445" s="4">
        <f t="shared" si="25"/>
        <v>66021.23</v>
      </c>
      <c r="N445" s="4">
        <f t="shared" si="26"/>
        <v>23474.25</v>
      </c>
      <c r="O445" s="6">
        <f t="shared" si="27"/>
        <v>0.35555608400509958</v>
      </c>
    </row>
    <row r="446" spans="1:15" ht="15" customHeight="1" x14ac:dyDescent="0.3">
      <c r="A446" s="2">
        <f>Raw_Data!A446</f>
        <v>100445</v>
      </c>
      <c r="B446" s="3">
        <f>DATEVALUE(Raw_Data!B446)</f>
        <v>45380</v>
      </c>
      <c r="C446" s="2" t="str">
        <f t="shared" si="24"/>
        <v>Mar-2024</v>
      </c>
      <c r="D446" s="2" t="str">
        <f>PROPER(TRIM(Raw_Data!C446))</f>
        <v>Manoj Pillai</v>
      </c>
      <c r="E446" s="2" t="str">
        <f>PROPER(TRIM(Raw_Data!D446))</f>
        <v>South</v>
      </c>
      <c r="F446" s="2" t="str">
        <f>PROPER(TRIM(Raw_Data!E446))</f>
        <v>Clothing</v>
      </c>
      <c r="G446" s="2" t="str">
        <f>PROPER(TRIM(Raw_Data!F446))</f>
        <v>T-Shirts</v>
      </c>
      <c r="H446" s="2" t="str">
        <f>Raw_Data!G446</f>
        <v>ActiveDry Sport</v>
      </c>
      <c r="I446" s="2">
        <f>Raw_Data!H446</f>
        <v>1</v>
      </c>
      <c r="J446" s="4">
        <f>Raw_Data!I446</f>
        <v>673.28</v>
      </c>
      <c r="K446" s="4">
        <f>Raw_Data!J446</f>
        <v>302.98</v>
      </c>
      <c r="L446" s="5">
        <f>IF(Raw_Data!K446="",0,Raw_Data!K446)</f>
        <v>0.15</v>
      </c>
      <c r="M446" s="4">
        <f t="shared" si="25"/>
        <v>572.29</v>
      </c>
      <c r="N446" s="4">
        <f t="shared" si="26"/>
        <v>269.31</v>
      </c>
      <c r="O446" s="6">
        <f t="shared" si="27"/>
        <v>0.47058309598280595</v>
      </c>
    </row>
    <row r="447" spans="1:15" ht="15" customHeight="1" x14ac:dyDescent="0.3">
      <c r="A447" s="2">
        <f>Raw_Data!A447</f>
        <v>100446</v>
      </c>
      <c r="B447" s="3" t="e">
        <f>DATEVALUE(Raw_Data!B447)</f>
        <v>#VALUE!</v>
      </c>
      <c r="C447" s="2" t="e">
        <f t="shared" si="24"/>
        <v>#VALUE!</v>
      </c>
      <c r="D447" s="2" t="str">
        <f>PROPER(TRIM(Raw_Data!C447))</f>
        <v>Manoj Iyer</v>
      </c>
      <c r="E447" s="2" t="str">
        <f>PROPER(TRIM(Raw_Data!D447))</f>
        <v>East</v>
      </c>
      <c r="F447" s="2" t="str">
        <f>PROPER(TRIM(Raw_Data!E447))</f>
        <v>Office Supplies</v>
      </c>
      <c r="G447" s="2" t="str">
        <f>PROPER(TRIM(Raw_Data!F447))</f>
        <v>Paper</v>
      </c>
      <c r="H447" s="2" t="str">
        <f>Raw_Data!G447</f>
        <v>CopyMax A4 Ream</v>
      </c>
      <c r="I447" s="2">
        <f>Raw_Data!H447</f>
        <v>9</v>
      </c>
      <c r="J447" s="4">
        <f>Raw_Data!I447</f>
        <v>257.33999999999997</v>
      </c>
      <c r="K447" s="4">
        <f>Raw_Data!J447</f>
        <v>128.66999999999999</v>
      </c>
      <c r="L447" s="5">
        <f>IF(Raw_Data!K447="",0,Raw_Data!K447)</f>
        <v>0</v>
      </c>
      <c r="M447" s="4">
        <f t="shared" si="25"/>
        <v>2316.06</v>
      </c>
      <c r="N447" s="4">
        <f t="shared" si="26"/>
        <v>1158.03</v>
      </c>
      <c r="O447" s="6">
        <f t="shared" si="27"/>
        <v>0.5</v>
      </c>
    </row>
    <row r="448" spans="1:15" ht="15" customHeight="1" x14ac:dyDescent="0.3">
      <c r="A448" s="2">
        <f>Raw_Data!A448</f>
        <v>100447</v>
      </c>
      <c r="B448" s="3">
        <f>DATEVALUE(Raw_Data!B448)</f>
        <v>45650</v>
      </c>
      <c r="C448" s="2" t="str">
        <f t="shared" si="24"/>
        <v>Dec-2024</v>
      </c>
      <c r="D448" s="2" t="str">
        <f>PROPER(TRIM(Raw_Data!C448))</f>
        <v>Pooja Shah</v>
      </c>
      <c r="E448" s="2" t="str">
        <f>PROPER(TRIM(Raw_Data!D448))</f>
        <v>West</v>
      </c>
      <c r="F448" s="2" t="str">
        <f>PROPER(TRIM(Raw_Data!E448))</f>
        <v>Furniture</v>
      </c>
      <c r="G448" s="2" t="str">
        <f>PROPER(TRIM(Raw_Data!F448))</f>
        <v>Bookshelves</v>
      </c>
      <c r="H448" s="2" t="str">
        <f>Raw_Data!G448</f>
        <v>WoodCraft 5-Tier</v>
      </c>
      <c r="I448" s="2">
        <f>Raw_Data!H448</f>
        <v>1</v>
      </c>
      <c r="J448" s="4">
        <f>Raw_Data!I448</f>
        <v>3467.55</v>
      </c>
      <c r="K448" s="4">
        <f>Raw_Data!J448</f>
        <v>2080.5300000000002</v>
      </c>
      <c r="L448" s="5">
        <f>IF(Raw_Data!K448="",0,Raw_Data!K448)</f>
        <v>0.1</v>
      </c>
      <c r="M448" s="4">
        <f t="shared" si="25"/>
        <v>3120.8</v>
      </c>
      <c r="N448" s="4">
        <f t="shared" si="26"/>
        <v>1040.27</v>
      </c>
      <c r="O448" s="6">
        <f t="shared" si="27"/>
        <v>0.33333440143552934</v>
      </c>
    </row>
    <row r="449" spans="1:15" ht="15" customHeight="1" x14ac:dyDescent="0.3">
      <c r="A449" s="2">
        <f>Raw_Data!A449</f>
        <v>100448</v>
      </c>
      <c r="B449" s="3">
        <f>DATEVALUE(Raw_Data!B449)</f>
        <v>45346</v>
      </c>
      <c r="C449" s="2" t="str">
        <f t="shared" si="24"/>
        <v>Feb-2024</v>
      </c>
      <c r="D449" s="2" t="str">
        <f>PROPER(TRIM(Raw_Data!C449))</f>
        <v>Simran Chopra</v>
      </c>
      <c r="E449" s="2" t="str">
        <f>PROPER(TRIM(Raw_Data!D449))</f>
        <v>North</v>
      </c>
      <c r="F449" s="2" t="str">
        <f>PROPER(TRIM(Raw_Data!E449))</f>
        <v>Office Supplies</v>
      </c>
      <c r="G449" s="2" t="str">
        <f>PROPER(TRIM(Raw_Data!F449))</f>
        <v>Pens</v>
      </c>
      <c r="H449" s="2" t="str">
        <f>Raw_Data!G449</f>
        <v>InkFlow Gel Pack5</v>
      </c>
      <c r="I449" s="2">
        <f>Raw_Data!H449</f>
        <v>12</v>
      </c>
      <c r="J449" s="4">
        <f>Raw_Data!I449</f>
        <v>120.59</v>
      </c>
      <c r="K449" s="4">
        <f>Raw_Data!J449</f>
        <v>54.27</v>
      </c>
      <c r="L449" s="5">
        <f>IF(Raw_Data!K449="",0,Raw_Data!K449)</f>
        <v>0.1</v>
      </c>
      <c r="M449" s="4">
        <f t="shared" si="25"/>
        <v>1302.3699999999999</v>
      </c>
      <c r="N449" s="4">
        <f t="shared" si="26"/>
        <v>651.13</v>
      </c>
      <c r="O449" s="6">
        <f t="shared" si="27"/>
        <v>0.49995776929751151</v>
      </c>
    </row>
    <row r="450" spans="1:15" ht="15" customHeight="1" x14ac:dyDescent="0.3">
      <c r="A450" s="2">
        <f>Raw_Data!A450</f>
        <v>100449</v>
      </c>
      <c r="B450" s="3">
        <f>DATEVALUE(Raw_Data!B450)</f>
        <v>45655</v>
      </c>
      <c r="C450" s="2" t="str">
        <f t="shared" ref="C450:C451" si="28">TEXT(B450,"mmm-yyyy")</f>
        <v>Dec-2024</v>
      </c>
      <c r="D450" s="2" t="str">
        <f>PROPER(TRIM(Raw_Data!C450))</f>
        <v>Saanvi Mehta</v>
      </c>
      <c r="E450" s="2" t="str">
        <f>PROPER(TRIM(Raw_Data!D450))</f>
        <v>North</v>
      </c>
      <c r="F450" s="2" t="str">
        <f>PROPER(TRIM(Raw_Data!E450))</f>
        <v>Clothing</v>
      </c>
      <c r="G450" s="2" t="str">
        <f>PROPER(TRIM(Raw_Data!F450))</f>
        <v>Shoes</v>
      </c>
      <c r="H450" s="2" t="str">
        <f>Raw_Data!G450</f>
        <v>WalkEase Casual</v>
      </c>
      <c r="I450" s="2">
        <f>Raw_Data!H450</f>
        <v>12</v>
      </c>
      <c r="J450" s="4">
        <f>Raw_Data!I450</f>
        <v>2049.2800000000002</v>
      </c>
      <c r="K450" s="4">
        <f>Raw_Data!J450</f>
        <v>1024.6400000000001</v>
      </c>
      <c r="L450" s="5">
        <f>IF(Raw_Data!K450="",0,Raw_Data!K450)</f>
        <v>0.1</v>
      </c>
      <c r="M450" s="4">
        <f t="shared" ref="M450:M451" si="29">ROUND(I450*J450*(1-L450),2)</f>
        <v>22132.22</v>
      </c>
      <c r="N450" s="4">
        <f t="shared" ref="N450:N451" si="30">ROUND(M450-(I450*K450),2)</f>
        <v>9836.5400000000009</v>
      </c>
      <c r="O450" s="6">
        <f t="shared" ref="O450:O451" si="31">IFERROR(N450/M450,0)</f>
        <v>0.44444434403778749</v>
      </c>
    </row>
    <row r="451" spans="1:15" ht="15" customHeight="1" x14ac:dyDescent="0.3">
      <c r="A451" s="2">
        <f>Raw_Data!A451</f>
        <v>100450</v>
      </c>
      <c r="B451" s="3">
        <f>DATEVALUE(Raw_Data!B451)</f>
        <v>45458</v>
      </c>
      <c r="C451" s="2" t="str">
        <f t="shared" si="28"/>
        <v>Jun-2024</v>
      </c>
      <c r="D451" s="2" t="str">
        <f>PROPER(TRIM(Raw_Data!C451))</f>
        <v>Kabir Rao</v>
      </c>
      <c r="E451" s="2" t="str">
        <f>PROPER(TRIM(Raw_Data!D451))</f>
        <v>South</v>
      </c>
      <c r="F451" s="2" t="str">
        <f>PROPER(TRIM(Raw_Data!E451))</f>
        <v>Electronics</v>
      </c>
      <c r="G451" s="2" t="str">
        <f>PROPER(TRIM(Raw_Data!F451))</f>
        <v>Monitors</v>
      </c>
      <c r="H451" s="2" t="str">
        <f>Raw_Data!G451</f>
        <v>CurveTech 32</v>
      </c>
      <c r="I451" s="2">
        <f>Raw_Data!H451</f>
        <v>10</v>
      </c>
      <c r="J451" s="4">
        <f>Raw_Data!I451</f>
        <v>20475.68</v>
      </c>
      <c r="K451" s="4">
        <f>Raw_Data!J451</f>
        <v>11875.89</v>
      </c>
      <c r="L451" s="5">
        <f>IF(Raw_Data!K451="",0,Raw_Data!K451)</f>
        <v>0.2</v>
      </c>
      <c r="M451" s="4">
        <f t="shared" si="29"/>
        <v>163805.44</v>
      </c>
      <c r="N451" s="4">
        <f t="shared" si="30"/>
        <v>45046.54</v>
      </c>
      <c r="O451" s="6">
        <f t="shared" si="31"/>
        <v>0.27500026861134769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"/>
  <sheetViews>
    <sheetView topLeftCell="A21" zoomScaleNormal="100" workbookViewId="0"/>
  </sheetViews>
  <sheetFormatPr defaultColWidth="8.6640625" defaultRowHeight="14.4" x14ac:dyDescent="0.3"/>
  <cols>
    <col min="1" max="5" width="18" customWidth="1"/>
  </cols>
  <sheetData>
    <row r="1" spans="1:5" ht="15.75" customHeight="1" x14ac:dyDescent="0.3">
      <c r="A1" s="7" t="s">
        <v>926</v>
      </c>
    </row>
    <row r="3" spans="1:5" ht="15" customHeight="1" x14ac:dyDescent="0.3">
      <c r="A3" s="8" t="s">
        <v>927</v>
      </c>
    </row>
    <row r="5" spans="1:5" ht="15" customHeight="1" x14ac:dyDescent="0.3">
      <c r="A5" s="1" t="s">
        <v>9</v>
      </c>
      <c r="B5" s="1" t="s">
        <v>928</v>
      </c>
      <c r="C5" s="1" t="s">
        <v>3</v>
      </c>
      <c r="D5" s="1" t="s">
        <v>925</v>
      </c>
      <c r="E5" s="1" t="s">
        <v>929</v>
      </c>
    </row>
    <row r="6" spans="1:5" ht="15" customHeight="1" x14ac:dyDescent="0.3">
      <c r="A6" t="s">
        <v>59</v>
      </c>
      <c r="B6" s="9">
        <f>SUMIF(Cleaned_Data!$E$2:$E$451,A6,Cleaned_Data!$M$2:$M$451)</f>
        <v>5138084.1400000006</v>
      </c>
      <c r="C6" s="9">
        <f>SUMIF(Cleaned_Data!$E$2:$E$451,A6,Cleaned_Data!$N$2:$N$451)</f>
        <v>1719816.3999999994</v>
      </c>
      <c r="D6" s="10">
        <f>IFERROR(C6/B6,0)</f>
        <v>0.33471939211956914</v>
      </c>
      <c r="E6">
        <f>COUNTIF(Cleaned_Data!$E$2:$E$451,A6)</f>
        <v>112</v>
      </c>
    </row>
    <row r="7" spans="1:5" ht="15" customHeight="1" x14ac:dyDescent="0.3">
      <c r="A7" t="s">
        <v>121</v>
      </c>
      <c r="B7" s="9">
        <f>SUMIF(Cleaned_Data!$E$2:$E$451,A7,Cleaned_Data!$M$2:$M$451)</f>
        <v>3879013.99</v>
      </c>
      <c r="C7" s="9">
        <f>SUMIF(Cleaned_Data!$E$2:$E$451,A7,Cleaned_Data!$N$2:$N$451)</f>
        <v>1392611.5600000003</v>
      </c>
      <c r="D7" s="10">
        <f>IFERROR(C7/B7,0)</f>
        <v>0.35901173947557746</v>
      </c>
      <c r="E7">
        <f>COUNTIF(Cleaned_Data!$E$2:$E$451,A7)</f>
        <v>97</v>
      </c>
    </row>
    <row r="8" spans="1:5" ht="15" customHeight="1" x14ac:dyDescent="0.3">
      <c r="A8" t="s">
        <v>64</v>
      </c>
      <c r="B8" s="9">
        <f>SUMIF(Cleaned_Data!$E$2:$E$451,A8,Cleaned_Data!$M$2:$M$451)</f>
        <v>3586208.1499999994</v>
      </c>
      <c r="C8" s="9">
        <f>SUMIF(Cleaned_Data!$E$2:$E$451,A8,Cleaned_Data!$N$2:$N$451)</f>
        <v>1274161.1599999992</v>
      </c>
      <c r="D8" s="10">
        <f>IFERROR(C8/B8,0)</f>
        <v>0.35529481466378338</v>
      </c>
      <c r="E8">
        <f>COUNTIF(Cleaned_Data!$E$2:$E$451,A8)</f>
        <v>119</v>
      </c>
    </row>
    <row r="9" spans="1:5" ht="15" customHeight="1" x14ac:dyDescent="0.3">
      <c r="A9" t="s">
        <v>92</v>
      </c>
      <c r="B9" s="9">
        <f>SUMIF(Cleaned_Data!$E$2:$E$451,A9,Cleaned_Data!$M$2:$M$451)</f>
        <v>4866661.9200000018</v>
      </c>
      <c r="C9" s="9">
        <f>SUMIF(Cleaned_Data!$E$2:$E$451,A9,Cleaned_Data!$N$2:$N$451)</f>
        <v>1647181.2999999989</v>
      </c>
      <c r="D9" s="10">
        <f>IFERROR(C9/B9,0)</f>
        <v>0.33846224107550055</v>
      </c>
      <c r="E9">
        <f>COUNTIF(Cleaned_Data!$E$2:$E$451,A9)</f>
        <v>122</v>
      </c>
    </row>
    <row r="10" spans="1:5" ht="15" customHeight="1" x14ac:dyDescent="0.3">
      <c r="A10" s="11" t="s">
        <v>930</v>
      </c>
      <c r="B10" s="9">
        <f>SUM(B6:B9)</f>
        <v>17469968.200000003</v>
      </c>
      <c r="C10" s="9">
        <f>SUM(C6:C9)</f>
        <v>6033770.4199999981</v>
      </c>
      <c r="D10" s="10">
        <f>IFERROR(C10/B10,0)</f>
        <v>0.34537958804069241</v>
      </c>
      <c r="E10">
        <f>SUM(E6:E9)</f>
        <v>450</v>
      </c>
    </row>
    <row r="12" spans="1:5" ht="15" customHeight="1" x14ac:dyDescent="0.3">
      <c r="A12" s="8" t="s">
        <v>931</v>
      </c>
    </row>
    <row r="13" spans="1:5" ht="15" customHeight="1" x14ac:dyDescent="0.3">
      <c r="A13" s="1" t="s">
        <v>10</v>
      </c>
      <c r="B13" s="1" t="s">
        <v>928</v>
      </c>
      <c r="C13" s="1" t="s">
        <v>3</v>
      </c>
      <c r="D13" s="1" t="s">
        <v>925</v>
      </c>
      <c r="E13" s="1" t="s">
        <v>929</v>
      </c>
    </row>
    <row r="14" spans="1:5" ht="15" customHeight="1" x14ac:dyDescent="0.3">
      <c r="A14" t="s">
        <v>85</v>
      </c>
      <c r="B14" s="9">
        <f>SUMIF(Cleaned_Data!$F$2:$F$451,A14,Cleaned_Data!$M$2:$M$451)</f>
        <v>12274030.410000002</v>
      </c>
      <c r="C14" s="9">
        <f>SUMIF(Cleaned_Data!$F$2:$F$451,A14,Cleaned_Data!$N$2:$N$451)</f>
        <v>4113842.24</v>
      </c>
      <c r="D14" s="10">
        <f>IFERROR(C14/B14,0)</f>
        <v>0.3351663718095676</v>
      </c>
      <c r="E14">
        <f>COUNTIF(Cleaned_Data!$F$2:$F$451,A14)</f>
        <v>121</v>
      </c>
    </row>
    <row r="15" spans="1:5" ht="15" customHeight="1" x14ac:dyDescent="0.3">
      <c r="A15" t="s">
        <v>65</v>
      </c>
      <c r="B15" s="9">
        <f>SUMIF(Cleaned_Data!$F$2:$F$451,A15,Cleaned_Data!$M$2:$M$451)</f>
        <v>3768787.64</v>
      </c>
      <c r="C15" s="9">
        <f>SUMIF(Cleaned_Data!$F$2:$F$451,A15,Cleaned_Data!$N$2:$N$451)</f>
        <v>1245849.8199999989</v>
      </c>
      <c r="D15" s="10">
        <f>IFERROR(C15/B15,0)</f>
        <v>0.33057044837899086</v>
      </c>
      <c r="E15">
        <f>COUNTIF(Cleaned_Data!$F$2:$F$451,A15)</f>
        <v>113</v>
      </c>
    </row>
    <row r="16" spans="1:5" ht="15" customHeight="1" x14ac:dyDescent="0.3">
      <c r="A16" t="s">
        <v>124</v>
      </c>
      <c r="B16" s="9">
        <f>SUMIF(Cleaned_Data!$F$2:$F$451,A16,Cleaned_Data!$M$2:$M$451)</f>
        <v>141223.65000000002</v>
      </c>
      <c r="C16" s="9">
        <f>SUMIF(Cleaned_Data!$F$2:$F$451,A16,Cleaned_Data!$N$2:$N$451)</f>
        <v>66719.819999999992</v>
      </c>
      <c r="D16" s="10">
        <f>IFERROR(C16/B16,0)</f>
        <v>0.47244084117638924</v>
      </c>
      <c r="E16">
        <f>COUNTIF(Cleaned_Data!$F$2:$F$451,A16)</f>
        <v>106</v>
      </c>
    </row>
    <row r="17" spans="1:5" ht="15" customHeight="1" x14ac:dyDescent="0.3">
      <c r="A17" t="s">
        <v>54</v>
      </c>
      <c r="B17" s="9">
        <f>SUMIF(Cleaned_Data!$F$2:$F$451,A17,Cleaned_Data!$M$2:$M$451)</f>
        <v>1285926.5000000007</v>
      </c>
      <c r="C17" s="9">
        <f>SUMIF(Cleaned_Data!$F$2:$F$451,A17,Cleaned_Data!$N$2:$N$451)</f>
        <v>607358.54000000015</v>
      </c>
      <c r="D17" s="10">
        <f>IFERROR(C17/B17,0)</f>
        <v>0.47231201783305643</v>
      </c>
      <c r="E17">
        <f>COUNTIF(Cleaned_Data!$F$2:$F$451,A17)</f>
        <v>110</v>
      </c>
    </row>
    <row r="18" spans="1:5" ht="15" customHeight="1" x14ac:dyDescent="0.3">
      <c r="A18" s="11" t="s">
        <v>930</v>
      </c>
      <c r="B18" s="9">
        <f>SUM(B14:B17)</f>
        <v>17469968.200000003</v>
      </c>
      <c r="C18" s="9">
        <f>SUM(C14:C17)</f>
        <v>6033770.419999999</v>
      </c>
      <c r="D18" s="10">
        <f>IFERROR(C18/B18,0)</f>
        <v>0.34537958804069246</v>
      </c>
      <c r="E18">
        <f>SUM(E14:E17)</f>
        <v>450</v>
      </c>
    </row>
    <row r="20" spans="1:5" ht="15" customHeight="1" x14ac:dyDescent="0.3">
      <c r="A20" s="8" t="s">
        <v>932</v>
      </c>
    </row>
    <row r="21" spans="1:5" ht="15" customHeight="1" x14ac:dyDescent="0.3">
      <c r="A21" s="1" t="s">
        <v>923</v>
      </c>
      <c r="B21" s="1" t="s">
        <v>928</v>
      </c>
      <c r="C21" s="1" t="s">
        <v>3</v>
      </c>
      <c r="D21" s="1" t="s">
        <v>929</v>
      </c>
    </row>
    <row r="22" spans="1:5" ht="15" customHeight="1" x14ac:dyDescent="0.3">
      <c r="A22" t="s">
        <v>933</v>
      </c>
      <c r="B22" s="9">
        <f>SUMIF(Cleaned_Data!$C$2:$C$451,A22,Cleaned_Data!$M$2:$M$451)</f>
        <v>837204.17000000016</v>
      </c>
      <c r="C22" s="9">
        <f>SUMIF(Cleaned_Data!$C$2:$C$451,A22,Cleaned_Data!$N$2:$N$451)</f>
        <v>290816.93000000005</v>
      </c>
      <c r="D22">
        <f>COUNTIF(Cleaned_Data!$C$2:$C$451,A22)</f>
        <v>14</v>
      </c>
    </row>
    <row r="23" spans="1:5" ht="15" customHeight="1" x14ac:dyDescent="0.3">
      <c r="A23" t="s">
        <v>934</v>
      </c>
      <c r="B23" s="9">
        <f>SUMIF(Cleaned_Data!$C$2:$C$451,A23,Cleaned_Data!$M$2:$M$451)</f>
        <v>1695632.4900000002</v>
      </c>
      <c r="C23" s="9">
        <f>SUMIF(Cleaned_Data!$C$2:$C$451,A23,Cleaned_Data!$N$2:$N$451)</f>
        <v>554398.31000000017</v>
      </c>
      <c r="D23">
        <f>COUNTIF(Cleaned_Data!$C$2:$C$451,A23)</f>
        <v>28</v>
      </c>
    </row>
    <row r="24" spans="1:5" ht="15" customHeight="1" x14ac:dyDescent="0.3">
      <c r="A24" t="s">
        <v>935</v>
      </c>
      <c r="B24" s="9">
        <f>SUMIF(Cleaned_Data!$C$2:$C$451,A24,Cleaned_Data!$M$2:$M$451)</f>
        <v>1140317.9200000002</v>
      </c>
      <c r="C24" s="9">
        <f>SUMIF(Cleaned_Data!$C$2:$C$451,A24,Cleaned_Data!$N$2:$N$451)</f>
        <v>408277.89999999997</v>
      </c>
      <c r="D24">
        <f>COUNTIF(Cleaned_Data!$C$2:$C$451,A24)</f>
        <v>32</v>
      </c>
    </row>
    <row r="25" spans="1:5" ht="15" customHeight="1" x14ac:dyDescent="0.3">
      <c r="A25" t="s">
        <v>936</v>
      </c>
      <c r="B25" s="9">
        <f>SUMIF(Cleaned_Data!$C$2:$C$451,A25,Cleaned_Data!$M$2:$M$451)</f>
        <v>979561.90000000026</v>
      </c>
      <c r="C25" s="9">
        <f>SUMIF(Cleaned_Data!$C$2:$C$451,A25,Cleaned_Data!$N$2:$N$451)</f>
        <v>315462.35000000009</v>
      </c>
      <c r="D25">
        <f>COUNTIF(Cleaned_Data!$C$2:$C$451,A25)</f>
        <v>19</v>
      </c>
    </row>
    <row r="26" spans="1:5" ht="15" customHeight="1" x14ac:dyDescent="0.3">
      <c r="A26" t="s">
        <v>937</v>
      </c>
      <c r="B26" s="9">
        <f>SUMIF(Cleaned_Data!$C$2:$C$451,A26,Cleaned_Data!$M$2:$M$451)</f>
        <v>822936.97000000009</v>
      </c>
      <c r="C26" s="9">
        <f>SUMIF(Cleaned_Data!$C$2:$C$451,A26,Cleaned_Data!$N$2:$N$451)</f>
        <v>308062.78000000003</v>
      </c>
      <c r="D26">
        <f>COUNTIF(Cleaned_Data!$C$2:$C$451,A26)</f>
        <v>22</v>
      </c>
    </row>
    <row r="27" spans="1:5" ht="15" customHeight="1" x14ac:dyDescent="0.3">
      <c r="A27" t="s">
        <v>938</v>
      </c>
      <c r="B27" s="9">
        <f>SUMIF(Cleaned_Data!$C$2:$C$451,A27,Cleaned_Data!$M$2:$M$451)</f>
        <v>1493680.44</v>
      </c>
      <c r="C27" s="9">
        <f>SUMIF(Cleaned_Data!$C$2:$C$451,A27,Cleaned_Data!$N$2:$N$451)</f>
        <v>532680.43000000005</v>
      </c>
      <c r="D27">
        <f>COUNTIF(Cleaned_Data!$C$2:$C$451,A27)</f>
        <v>32</v>
      </c>
    </row>
    <row r="28" spans="1:5" ht="15" customHeight="1" x14ac:dyDescent="0.3">
      <c r="A28" t="s">
        <v>939</v>
      </c>
      <c r="B28" s="9">
        <f>SUMIF(Cleaned_Data!$C$2:$C$451,A28,Cleaned_Data!$M$2:$M$451)</f>
        <v>1550352.5499999998</v>
      </c>
      <c r="C28" s="9">
        <f>SUMIF(Cleaned_Data!$C$2:$C$451,A28,Cleaned_Data!$N$2:$N$451)</f>
        <v>536234.69999999995</v>
      </c>
      <c r="D28">
        <f>COUNTIF(Cleaned_Data!$C$2:$C$451,A28)</f>
        <v>35</v>
      </c>
    </row>
    <row r="29" spans="1:5" ht="15" customHeight="1" x14ac:dyDescent="0.3">
      <c r="A29" t="s">
        <v>940</v>
      </c>
      <c r="B29" s="9">
        <f>SUMIF(Cleaned_Data!$C$2:$C$451,A29,Cleaned_Data!$M$2:$M$451)</f>
        <v>493646.89999999997</v>
      </c>
      <c r="C29" s="9">
        <f>SUMIF(Cleaned_Data!$C$2:$C$451,A29,Cleaned_Data!$N$2:$N$451)</f>
        <v>186228.28</v>
      </c>
      <c r="D29">
        <f>COUNTIF(Cleaned_Data!$C$2:$C$451,A29)</f>
        <v>24</v>
      </c>
    </row>
    <row r="30" spans="1:5" ht="15" customHeight="1" x14ac:dyDescent="0.3">
      <c r="A30" t="s">
        <v>941</v>
      </c>
      <c r="B30" s="9">
        <f>SUMIF(Cleaned_Data!$C$2:$C$451,A30,Cleaned_Data!$M$2:$M$451)</f>
        <v>552593.95000000007</v>
      </c>
      <c r="C30" s="9">
        <f>SUMIF(Cleaned_Data!$C$2:$C$451,A30,Cleaned_Data!$N$2:$N$451)</f>
        <v>201197.71000000005</v>
      </c>
      <c r="D30">
        <f>COUNTIF(Cleaned_Data!$C$2:$C$451,A30)</f>
        <v>27</v>
      </c>
    </row>
    <row r="31" spans="1:5" ht="15" customHeight="1" x14ac:dyDescent="0.3">
      <c r="A31" t="s">
        <v>942</v>
      </c>
      <c r="B31" s="9">
        <f>SUMIF(Cleaned_Data!$C$2:$C$451,A31,Cleaned_Data!$M$2:$M$451)</f>
        <v>551075.04999999993</v>
      </c>
      <c r="C31" s="9">
        <f>SUMIF(Cleaned_Data!$C$2:$C$451,A31,Cleaned_Data!$N$2:$N$451)</f>
        <v>184074.57</v>
      </c>
      <c r="D31">
        <f>COUNTIF(Cleaned_Data!$C$2:$C$451,A31)</f>
        <v>16</v>
      </c>
    </row>
    <row r="32" spans="1:5" ht="15" customHeight="1" x14ac:dyDescent="0.3">
      <c r="A32" t="s">
        <v>943</v>
      </c>
      <c r="B32" s="9">
        <f>SUMIF(Cleaned_Data!$C$2:$C$451,A32,Cleaned_Data!$M$2:$M$451)</f>
        <v>1453830.71</v>
      </c>
      <c r="C32" s="9">
        <f>SUMIF(Cleaned_Data!$C$2:$C$451,A32,Cleaned_Data!$N$2:$N$451)</f>
        <v>461457.4</v>
      </c>
      <c r="D32">
        <f>COUNTIF(Cleaned_Data!$C$2:$C$451,A32)</f>
        <v>23</v>
      </c>
    </row>
    <row r="33" spans="1:4" ht="15" customHeight="1" x14ac:dyDescent="0.3">
      <c r="A33" t="s">
        <v>944</v>
      </c>
      <c r="B33" s="9">
        <f>SUMIF(Cleaned_Data!$C$2:$C$451,A33,Cleaned_Data!$M$2:$M$451)</f>
        <v>486924.46999999986</v>
      </c>
      <c r="C33" s="9">
        <f>SUMIF(Cleaned_Data!$C$2:$C$451,A33,Cleaned_Data!$N$2:$N$451)</f>
        <v>189930.33</v>
      </c>
      <c r="D33">
        <f>COUNTIF(Cleaned_Data!$C$2:$C$451,A33)</f>
        <v>31</v>
      </c>
    </row>
    <row r="34" spans="1:4" ht="15" customHeight="1" x14ac:dyDescent="0.3">
      <c r="A34" s="11" t="s">
        <v>930</v>
      </c>
      <c r="B34" s="9">
        <f>SUM(B22:B33)</f>
        <v>12057757.520000001</v>
      </c>
      <c r="C34" s="9">
        <f>SUM(C22:C33)</f>
        <v>4168821.69</v>
      </c>
      <c r="D34">
        <f>SUM(D22:D33)</f>
        <v>303</v>
      </c>
    </row>
    <row r="36" spans="1:4" ht="15" customHeight="1" x14ac:dyDescent="0.3">
      <c r="A36" s="8" t="s">
        <v>945</v>
      </c>
    </row>
    <row r="37" spans="1:4" ht="15" customHeight="1" x14ac:dyDescent="0.3">
      <c r="A37" s="1" t="s">
        <v>12</v>
      </c>
      <c r="B37" s="1" t="s">
        <v>928</v>
      </c>
      <c r="C37" s="1" t="s">
        <v>3</v>
      </c>
      <c r="D37" s="1" t="s">
        <v>946</v>
      </c>
    </row>
    <row r="38" spans="1:4" ht="15" customHeight="1" x14ac:dyDescent="0.3">
      <c r="A38" t="s">
        <v>90</v>
      </c>
      <c r="B38" s="9">
        <f>SUMIF(Cleaned_Data!$H$2:$H$451,A38,Cleaned_Data!$M$2:$M$451)</f>
        <v>4117343.67</v>
      </c>
      <c r="C38" s="9">
        <f>SUMIF(Cleaned_Data!$H$2:$H$451,A38,Cleaned_Data!$N$2:$N$451)</f>
        <v>1298059.9300000002</v>
      </c>
      <c r="D38">
        <f>SUMIF(Cleaned_Data!$H$2:$H$451,A38,Cleaned_Data!$I$2:$I$451)</f>
        <v>96</v>
      </c>
    </row>
    <row r="39" spans="1:4" ht="15" customHeight="1" x14ac:dyDescent="0.3">
      <c r="A39" t="s">
        <v>87</v>
      </c>
      <c r="B39" s="9">
        <f>SUMIF(Cleaned_Data!$H$2:$H$451,A39,Cleaned_Data!$M$2:$M$451)</f>
        <v>3662980.2399999998</v>
      </c>
      <c r="C39" s="9">
        <f>SUMIF(Cleaned_Data!$H$2:$H$451,A39,Cleaned_Data!$N$2:$N$451)</f>
        <v>1253706.53</v>
      </c>
      <c r="D39">
        <f>SUMIF(Cleaned_Data!$H$2:$H$451,A39,Cleaned_Data!$I$2:$I$451)</f>
        <v>64</v>
      </c>
    </row>
    <row r="40" spans="1:4" ht="15" customHeight="1" x14ac:dyDescent="0.3">
      <c r="A40" t="s">
        <v>570</v>
      </c>
      <c r="B40" s="9">
        <f>SUMIF(Cleaned_Data!$H$2:$H$451,A40,Cleaned_Data!$M$2:$M$451)</f>
        <v>306573.28999999998</v>
      </c>
      <c r="C40" s="9">
        <f>SUMIF(Cleaned_Data!$H$2:$H$451,A40,Cleaned_Data!$N$2:$N$451)</f>
        <v>106712.28999999998</v>
      </c>
      <c r="D40">
        <f>SUMIF(Cleaned_Data!$H$2:$H$451,A40,Cleaned_Data!$I$2:$I$451)</f>
        <v>38</v>
      </c>
    </row>
    <row r="41" spans="1:4" ht="15" customHeight="1" x14ac:dyDescent="0.3">
      <c r="A41" t="s">
        <v>95</v>
      </c>
      <c r="B41" s="9">
        <f>SUMIF(Cleaned_Data!$H$2:$H$451,A41,Cleaned_Data!$M$2:$M$451)</f>
        <v>786773.22999999986</v>
      </c>
      <c r="C41" s="9">
        <f>SUMIF(Cleaned_Data!$H$2:$H$451,A41,Cleaned_Data!$N$2:$N$451)</f>
        <v>293142.25</v>
      </c>
      <c r="D41">
        <f>SUMIF(Cleaned_Data!$H$2:$H$451,A41,Cleaned_Data!$I$2:$I$451)</f>
        <v>85</v>
      </c>
    </row>
    <row r="42" spans="1:4" ht="15" customHeight="1" x14ac:dyDescent="0.3">
      <c r="A42" t="s">
        <v>229</v>
      </c>
      <c r="B42" s="9">
        <f>SUMIF(Cleaned_Data!$H$2:$H$451,A42,Cleaned_Data!$M$2:$M$451)</f>
        <v>860377.98</v>
      </c>
      <c r="C42" s="9">
        <f>SUMIF(Cleaned_Data!$H$2:$H$451,A42,Cleaned_Data!$N$2:$N$451)</f>
        <v>299959.93999999994</v>
      </c>
      <c r="D42">
        <f>SUMIF(Cleaned_Data!$H$2:$H$451,A42,Cleaned_Data!$I$2:$I$451)</f>
        <v>65</v>
      </c>
    </row>
    <row r="43" spans="1:4" ht="15" customHeight="1" x14ac:dyDescent="0.3">
      <c r="A43" t="s">
        <v>166</v>
      </c>
      <c r="B43" s="9">
        <f>SUMIF(Cleaned_Data!$H$2:$H$451,A43,Cleaned_Data!$M$2:$M$451)</f>
        <v>1358240.77</v>
      </c>
      <c r="C43" s="9">
        <f>SUMIF(Cleaned_Data!$H$2:$H$451,A43,Cleaned_Data!$N$2:$N$451)</f>
        <v>462879.49</v>
      </c>
      <c r="D43">
        <f>SUMIF(Cleaned_Data!$H$2:$H$451,A43,Cleaned_Data!$I$2:$I$451)</f>
        <v>72</v>
      </c>
    </row>
    <row r="44" spans="1:4" ht="15" customHeight="1" x14ac:dyDescent="0.3">
      <c r="A44" t="s">
        <v>67</v>
      </c>
      <c r="B44" s="9">
        <f>SUMIF(Cleaned_Data!$H$2:$H$451,A44,Cleaned_Data!$M$2:$M$451)</f>
        <v>503060.45</v>
      </c>
      <c r="C44" s="9">
        <f>SUMIF(Cleaned_Data!$H$2:$H$451,A44,Cleaned_Data!$N$2:$N$451)</f>
        <v>171728.06</v>
      </c>
      <c r="D44">
        <f>SUMIF(Cleaned_Data!$H$2:$H$451,A44,Cleaned_Data!$I$2:$I$451)</f>
        <v>74</v>
      </c>
    </row>
    <row r="45" spans="1:4" ht="15" customHeight="1" x14ac:dyDescent="0.3">
      <c r="A45" t="s">
        <v>82</v>
      </c>
      <c r="B45" s="9">
        <f>SUMIF(Cleaned_Data!$H$2:$H$451,A45,Cleaned_Data!$M$2:$M$451)</f>
        <v>221767.25</v>
      </c>
      <c r="C45" s="9">
        <f>SUMIF(Cleaned_Data!$H$2:$H$451,A45,Cleaned_Data!$N$2:$N$451)</f>
        <v>103530.09</v>
      </c>
      <c r="D45">
        <f>SUMIF(Cleaned_Data!$H$2:$H$451,A45,Cleaned_Data!$I$2:$I$451)</f>
        <v>82</v>
      </c>
    </row>
    <row r="46" spans="1:4" ht="15" customHeight="1" x14ac:dyDescent="0.3">
      <c r="A46" t="s">
        <v>193</v>
      </c>
      <c r="B46" s="9">
        <f>SUMIF(Cleaned_Data!$H$2:$H$451,A46,Cleaned_Data!$M$2:$M$451)</f>
        <v>218608.02000000002</v>
      </c>
      <c r="C46" s="9">
        <f>SUMIF(Cleaned_Data!$H$2:$H$451,A46,Cleaned_Data!$N$2:$N$451)</f>
        <v>102591.43</v>
      </c>
      <c r="D46">
        <f>SUMIF(Cleaned_Data!$H$2:$H$451,A46,Cleaned_Data!$I$2:$I$451)</f>
        <v>72</v>
      </c>
    </row>
    <row r="47" spans="1:4" ht="15" customHeight="1" x14ac:dyDescent="0.3">
      <c r="A47" t="s">
        <v>264</v>
      </c>
      <c r="B47" s="9">
        <f>SUMIF(Cleaned_Data!$H$2:$H$451,A47,Cleaned_Data!$M$2:$M$451)</f>
        <v>183020.58</v>
      </c>
      <c r="C47" s="9">
        <f>SUMIF(Cleaned_Data!$H$2:$H$451,A47,Cleaned_Data!$N$2:$N$451)</f>
        <v>92780.709999999992</v>
      </c>
      <c r="D47">
        <f>SUMIF(Cleaned_Data!$H$2:$H$451,A47,Cleaned_Data!$I$2:$I$451)</f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opLeftCell="A14" zoomScaleNormal="100" workbookViewId="0">
      <selection activeCell="O18" sqref="O18"/>
    </sheetView>
  </sheetViews>
  <sheetFormatPr defaultColWidth="8.6640625" defaultRowHeight="14.4" x14ac:dyDescent="0.3"/>
  <cols>
    <col min="1" max="8" width="13" customWidth="1"/>
  </cols>
  <sheetData>
    <row r="1" spans="1:8" ht="22.8" x14ac:dyDescent="0.4">
      <c r="A1" s="14" t="s">
        <v>0</v>
      </c>
      <c r="B1" s="14"/>
      <c r="C1" s="14"/>
      <c r="D1" s="14"/>
      <c r="E1" s="14"/>
      <c r="F1" s="14"/>
      <c r="G1" s="14"/>
      <c r="H1" s="14"/>
    </row>
    <row r="2" spans="1:8" x14ac:dyDescent="0.3">
      <c r="A2" s="15" t="s">
        <v>1</v>
      </c>
      <c r="B2" s="15"/>
      <c r="C2" s="15"/>
      <c r="D2" s="15"/>
      <c r="E2" s="15"/>
      <c r="F2" s="15"/>
      <c r="G2" s="15"/>
      <c r="H2" s="15"/>
    </row>
    <row r="4" spans="1:8" x14ac:dyDescent="0.3">
      <c r="A4" s="16" t="s">
        <v>2</v>
      </c>
      <c r="B4" s="16"/>
      <c r="C4" s="16" t="s">
        <v>3</v>
      </c>
      <c r="D4" s="16"/>
      <c r="E4" s="16" t="s">
        <v>4</v>
      </c>
      <c r="F4" s="16"/>
      <c r="G4" s="16" t="s">
        <v>5</v>
      </c>
      <c r="H4" s="16"/>
    </row>
    <row r="5" spans="1:8" ht="21" x14ac:dyDescent="0.4">
      <c r="A5" s="13">
        <f>Analysis!B10</f>
        <v>17469968.200000003</v>
      </c>
      <c r="B5" s="13"/>
      <c r="C5" s="13">
        <f>Analysis!C10</f>
        <v>6033770.4199999981</v>
      </c>
      <c r="D5" s="13"/>
      <c r="E5" s="13">
        <f>Analysis!E10</f>
        <v>450</v>
      </c>
      <c r="F5" s="13"/>
      <c r="G5" s="13">
        <f>Analysis!B10/Analysis!E10</f>
        <v>38822.15155555556</v>
      </c>
      <c r="H5" s="13"/>
    </row>
  </sheetData>
  <mergeCells count="10">
    <mergeCell ref="A5:B5"/>
    <mergeCell ref="C5:D5"/>
    <mergeCell ref="E5:F5"/>
    <mergeCell ref="G5:H5"/>
    <mergeCell ref="A1:H1"/>
    <mergeCell ref="A2:H2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tabSelected="1" zoomScaleNormal="100" workbookViewId="0">
      <selection sqref="A1:F1"/>
    </sheetView>
  </sheetViews>
  <sheetFormatPr defaultColWidth="8.6640625" defaultRowHeight="14.4" x14ac:dyDescent="0.3"/>
  <cols>
    <col min="1" max="6" width="22" customWidth="1"/>
  </cols>
  <sheetData>
    <row r="1" spans="1:6" ht="21" x14ac:dyDescent="0.4">
      <c r="A1" s="19" t="s">
        <v>947</v>
      </c>
      <c r="B1" s="19"/>
      <c r="C1" s="19"/>
      <c r="D1" s="19"/>
      <c r="E1" s="19"/>
      <c r="F1" s="19"/>
    </row>
    <row r="3" spans="1:6" ht="15.6" x14ac:dyDescent="0.3">
      <c r="A3" s="12" t="s">
        <v>948</v>
      </c>
    </row>
    <row r="4" spans="1:6" ht="18" customHeight="1" x14ac:dyDescent="0.3">
      <c r="A4" s="18" t="str">
        <f>"Top-performing region: " &amp; INDEX(Analysis!A6:A9,MATCH(MAX(Analysis!B6:B9),Analysis!B6:B9,0)) &amp; " generated the highest revenue at ₹" &amp; TEXT(MAX(Analysis!B6:B9),"#,##0") &amp; "."</f>
        <v>Top-performing region: North generated the highest revenue at ₹51,38,084.</v>
      </c>
      <c r="B4" s="18"/>
      <c r="C4" s="18"/>
      <c r="D4" s="18"/>
      <c r="E4" s="18"/>
      <c r="F4" s="18"/>
    </row>
    <row r="5" spans="1:6" ht="18" customHeight="1" x14ac:dyDescent="0.3">
      <c r="A5" s="18" t="str">
        <f>"Weakest region: " &amp; INDEX(Analysis!A6:A9,MATCH(MIN(Analysis!B6:B9),Analysis!B6:B9,0)) &amp; " trails with revenue of ₹" &amp; TEXT(MIN(Analysis!B6:B9),"#,##0") &amp; ", a gap worth investigating."</f>
        <v>Weakest region: East trails with revenue of ₹35,86,208, a gap worth investigating.</v>
      </c>
      <c r="B5" s="18"/>
      <c r="C5" s="18"/>
      <c r="D5" s="18"/>
      <c r="E5" s="18"/>
      <c r="F5" s="18"/>
    </row>
    <row r="6" spans="1:6" ht="18" customHeight="1" x14ac:dyDescent="0.3">
      <c r="A6" s="18" t="str">
        <f>"Top category by revenue: " &amp; INDEX(Analysis!A14:A17,MATCH(MAX(Analysis!B14:B17),Analysis!B14:B17,0)) &amp; ", contributing ₹" &amp; TEXT(MAX(Analysis!B14:B17),"#,##0") &amp; " in sales."</f>
        <v>Top category by revenue: Electronics, contributing ₹1,22,74,030 in sales.</v>
      </c>
      <c r="B6" s="18"/>
      <c r="C6" s="18"/>
      <c r="D6" s="18"/>
      <c r="E6" s="18"/>
      <c r="F6" s="18"/>
    </row>
    <row r="7" spans="1:6" ht="18" customHeight="1" x14ac:dyDescent="0.3">
      <c r="A7" s="18" t="str">
        <f>"Highest-margin category: " &amp; INDEX(Analysis!A14:A17,MATCH(MAX(Analysis!D14:D17),Analysis!D14:D17,0)) &amp; " at " &amp; TEXT(MAX(Analysis!D14:D17),"0.0%") &amp; " profit margin — more profitable per rupee of sale than the top-revenue category."</f>
        <v>Highest-margin category: Office Supplies at 47.2% profit margin — more profitable per rupee of sale than the top-revenue category.</v>
      </c>
      <c r="B7" s="18"/>
      <c r="C7" s="18"/>
      <c r="D7" s="18"/>
      <c r="E7" s="18"/>
      <c r="F7" s="18"/>
    </row>
    <row r="8" spans="1:6" ht="18" customHeight="1" x14ac:dyDescent="0.3">
      <c r="A8" s="18" t="str">
        <f>"Best sales month: " &amp; INDEX(Analysis!A22:A33,MATCH(MAX(Analysis!B22:B33),Analysis!B22:B33,0)) &amp; " with ₹" &amp; TEXT(MAX(Analysis!B22:B33),"#,##0") &amp; " in revenue."</f>
        <v>Best sales month: Feb-2024 with ₹16,95,632 in revenue.</v>
      </c>
      <c r="B8" s="18"/>
      <c r="C8" s="18"/>
      <c r="D8" s="18"/>
      <c r="E8" s="18"/>
      <c r="F8" s="18"/>
    </row>
    <row r="9" spans="1:6" ht="18" customHeight="1" x14ac:dyDescent="0.3">
      <c r="A9" s="18" t="str">
        <f>"Slowest sales month: " &amp; INDEX(Analysis!A22:A33,MATCH(MIN(Analysis!B22:B33),Analysis!B22:B33,0)) &amp; " with only ₹" &amp; TEXT(MIN(Analysis!B22:B33),"#,##0") &amp; " in revenue — worth checking for seasonality or stock issues."</f>
        <v>Slowest sales month: Dec-2024 with only ₹4,86,924 in revenue — worth checking for seasonality or stock issues.</v>
      </c>
      <c r="B9" s="18"/>
      <c r="C9" s="18"/>
      <c r="D9" s="18"/>
      <c r="E9" s="18"/>
      <c r="F9" s="18"/>
    </row>
    <row r="10" spans="1:6" ht="18" customHeight="1" x14ac:dyDescent="0.3">
      <c r="A10" s="18" t="str">
        <f>"Best-selling product: " &amp; INDEX(Analysis!A38:A47,MATCH(MAX(Analysis!B38:B47),Analysis!B38:B47,0)) &amp; ", generating ₹" &amp; TEXT(MAX(Analysis!B38:B47),"#,##0") &amp; " in revenue."</f>
        <v>Best-selling product: ProBook 14, generating ₹41,17,344 in revenue.</v>
      </c>
      <c r="B10" s="18"/>
      <c r="C10" s="18"/>
      <c r="D10" s="18"/>
      <c r="E10" s="18"/>
      <c r="F10" s="18"/>
    </row>
    <row r="11" spans="1:6" ht="18" customHeight="1" x14ac:dyDescent="0.3">
      <c r="A11" s="18" t="str">
        <f>"Overall profit margin across all sales: " &amp; TEXT(Analysis!D10,"0.0%") &amp; " on total revenue of ₹" &amp; TEXT(Analysis!B10,"#,##0") &amp; "."</f>
        <v>Overall profit margin across all sales: 34.5% on total revenue of ₹1,74,69,968.</v>
      </c>
      <c r="B11" s="18"/>
      <c r="C11" s="18"/>
      <c r="D11" s="18"/>
      <c r="E11" s="18"/>
      <c r="F11" s="18"/>
    </row>
    <row r="13" spans="1:6" ht="15.6" x14ac:dyDescent="0.3">
      <c r="A13" s="12" t="s">
        <v>949</v>
      </c>
    </row>
    <row r="14" spans="1:6" ht="18" customHeight="1" x14ac:dyDescent="0.3">
      <c r="A14" s="18" t="s">
        <v>950</v>
      </c>
      <c r="B14" s="18"/>
      <c r="C14" s="18"/>
      <c r="D14" s="18"/>
      <c r="E14" s="18"/>
      <c r="F14" s="18"/>
    </row>
    <row r="15" spans="1:6" ht="18" customHeight="1" x14ac:dyDescent="0.3">
      <c r="A15" s="18" t="s">
        <v>951</v>
      </c>
      <c r="B15" s="18"/>
      <c r="C15" s="18"/>
      <c r="D15" s="18"/>
      <c r="E15" s="18"/>
      <c r="F15" s="18"/>
    </row>
    <row r="16" spans="1:6" ht="18" customHeight="1" x14ac:dyDescent="0.3">
      <c r="A16" s="18" t="s">
        <v>952</v>
      </c>
      <c r="B16" s="18"/>
      <c r="C16" s="18"/>
      <c r="D16" s="18"/>
      <c r="E16" s="18"/>
      <c r="F16" s="18"/>
    </row>
    <row r="17" spans="1:6" ht="18" customHeight="1" x14ac:dyDescent="0.3">
      <c r="A17" s="18" t="s">
        <v>953</v>
      </c>
      <c r="B17" s="18"/>
      <c r="C17" s="18"/>
      <c r="D17" s="18"/>
      <c r="E17" s="18"/>
      <c r="F17" s="18"/>
    </row>
    <row r="18" spans="1:6" ht="18" customHeight="1" x14ac:dyDescent="0.3">
      <c r="A18" s="18" t="s">
        <v>954</v>
      </c>
      <c r="B18" s="18"/>
      <c r="C18" s="18"/>
      <c r="D18" s="18"/>
      <c r="E18" s="18"/>
      <c r="F18" s="18"/>
    </row>
    <row r="19" spans="1:6" ht="18" customHeight="1" x14ac:dyDescent="0.3">
      <c r="A19" s="18" t="s">
        <v>955</v>
      </c>
      <c r="B19" s="18"/>
      <c r="C19" s="18"/>
      <c r="D19" s="18"/>
      <c r="E19" s="18"/>
      <c r="F19" s="18"/>
    </row>
    <row r="21" spans="1:6" ht="15.6" x14ac:dyDescent="0.3">
      <c r="A21" s="12" t="s">
        <v>956</v>
      </c>
    </row>
    <row r="22" spans="1:6" ht="19.5" customHeight="1" x14ac:dyDescent="0.3">
      <c r="A22" s="17" t="s">
        <v>957</v>
      </c>
      <c r="B22" s="17"/>
      <c r="C22" s="17"/>
      <c r="D22" s="17"/>
      <c r="E22" s="17"/>
      <c r="F22" s="17"/>
    </row>
    <row r="23" spans="1:6" x14ac:dyDescent="0.3">
      <c r="A23" s="17"/>
      <c r="B23" s="17"/>
      <c r="C23" s="17"/>
      <c r="D23" s="17"/>
      <c r="E23" s="17"/>
      <c r="F23" s="17"/>
    </row>
    <row r="24" spans="1:6" x14ac:dyDescent="0.3">
      <c r="A24" s="17"/>
      <c r="B24" s="17"/>
      <c r="C24" s="17"/>
      <c r="D24" s="17"/>
      <c r="E24" s="17"/>
      <c r="F24" s="17"/>
    </row>
    <row r="25" spans="1:6" x14ac:dyDescent="0.3">
      <c r="A25" s="17"/>
      <c r="B25" s="17"/>
      <c r="C25" s="17"/>
      <c r="D25" s="17"/>
      <c r="E25" s="17"/>
      <c r="F25" s="17"/>
    </row>
  </sheetData>
  <mergeCells count="16">
    <mergeCell ref="A1:F1"/>
    <mergeCell ref="A4:F4"/>
    <mergeCell ref="A5:F5"/>
    <mergeCell ref="A6:F6"/>
    <mergeCell ref="A7:F7"/>
    <mergeCell ref="A8:F8"/>
    <mergeCell ref="A9:F9"/>
    <mergeCell ref="A10:F10"/>
    <mergeCell ref="A11:F11"/>
    <mergeCell ref="A14:F14"/>
    <mergeCell ref="A22:F25"/>
    <mergeCell ref="A15:F15"/>
    <mergeCell ref="A16:F16"/>
    <mergeCell ref="A17:F17"/>
    <mergeCell ref="A18:F18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Analysis</vt:lpstr>
      <vt:lpstr>Dashboard</vt:lpstr>
      <vt:lpstr>Summary_Recommendations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Sneha Sahu</cp:lastModifiedBy>
  <cp:revision>1</cp:revision>
  <dcterms:created xsi:type="dcterms:W3CDTF">2026-06-21T07:57:56Z</dcterms:created>
  <dcterms:modified xsi:type="dcterms:W3CDTF">2026-06-21T08:25:06Z</dcterms:modified>
  <dc:language>en-US</dc:language>
</cp:coreProperties>
</file>